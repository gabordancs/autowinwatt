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847e82d6297480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étegek" sheetId="1" r:id="R0b9eeba93d0b432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"/>
    <x:numFmt numFmtId="201" formatCode="0.000"/>
    <x:numFmt numFmtId="202" formatCode="0"/>
    <x:numFmt numFmtId="203" formatCode="0%"/>
  </x:numFmts>
  <x:fonts count="7">
    <x:font>
      <x:sz val="11"/>
      <x:name val="Carlito"/>
    </x:font>
    <x:font>
      <x:b/>
      <x:sz val="15"/>
      <x:color rgb="FF1F2937"/>
      <x:name val="Arial"/>
    </x:font>
    <x:font>
      <x:i/>
      <x:sz val="10"/>
      <x:color rgb="FF4B5563"/>
      <x:name val="Arial"/>
    </x:font>
    <x:font>
      <x:b/>
      <x:sz val="10"/>
      <x:color rgb="FF1F2937"/>
      <x:name val="Arial"/>
    </x:font>
    <x:font>
      <x:b/>
      <x:sz val="11"/>
      <x:color rgb="FF1F4E78"/>
      <x:name val="Arial"/>
    </x:font>
    <x:font>
      <x:sz val="10"/>
      <x:color rgb="FF1F2937"/>
      <x:name val="Arial"/>
    </x:font>
    <x:font>
      <x:b/>
      <x:sz val="10"/>
      <x:color rgb="FF7F6000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E8EEF7"/>
      </x:patternFill>
    </x:fill>
    <x:fill>
      <x:patternFill patternType="solid">
        <x:fgColor rgb="FFFFF2CC"/>
      </x:patternFill>
    </x:fill>
  </x:fills>
  <x:borders count="1">
    <x:border/>
  </x:borders>
  <x:cellStyleXfs count="1">
    <x:xf numFmtId="0" fontId="0" fillId="0" borderId="0"/>
  </x:cellStyleXfs>
  <x:cellXfs count="17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 applyAlignment="1">
      <x:alignment horizontal="center" vertical="center"/>
    </x:xf>
    <x:xf numFmtId="200" fontId="5" fillId="0" borderId="0" xfId="0" applyNumberFormat="1" applyFont="1" applyFill="1" applyBorder="1" applyAlignment="1">
      <x:alignment vertical="center"/>
    </x:xf>
    <x:xf numFmtId="201" fontId="5" fillId="0" borderId="0" xfId="0" applyNumberFormat="1" applyFont="1" applyFill="1" applyBorder="1" applyAlignment="1">
      <x:alignment vertical="center"/>
    </x:xf>
    <x:xf numFmtId="202" fontId="5" fillId="0" borderId="0" xfId="0" applyNumberFormat="1" applyFont="1" applyFill="1" applyBorder="1" applyAlignment="1">
      <x:alignment vertical="center"/>
    </x:xf>
    <x:xf numFmtId="203" fontId="5" fillId="0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vertical="center" wrapText="1"/>
    </x:xf>
    <x:xf numFmtId="0" fontId="6" fillId="3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4"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595959"/>
      </x:font>
      <x:fill>
        <x:patternFill patternType="solid">
          <x:bgColor rgb="FFE7E6E6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8709200805940f1" /><Relationship Type="http://schemas.openxmlformats.org/officeDocument/2006/relationships/theme" Target="/xl/theme/theme1.xml" Id="R1fc368ac58ba45e5" /><Relationship Type="http://schemas.openxmlformats.org/officeDocument/2006/relationships/sharedStrings" Target="/xl/sharedStrings.xml" Id="Rb4fcd1ec18604097" /><Relationship Type="http://schemas.openxmlformats.org/officeDocument/2006/relationships/worksheet" Target="/xl/worksheets/sheet1.xml" Id="R0b9eeba93d0b4325" /></Relationships>
</file>

<file path=xl/tables/table1.xml><?xml version="1.0" encoding="utf-8"?>
<x:table xmlns:x="http://schemas.openxmlformats.org/spreadsheetml/2006/main" id="1" name="LayerReviewTable" displayName="LayerReviewTable" ref="A7:O57" headerRowCount="1" totalsRowCount="0" totalsRowShown="0">
  <x:autoFilter ref="A7:O57"/>
  <x:tableColumns count="15">
    <x:tableColumn id="1" name="Kód"/>
    <x:tableColumn id="2" name="Rétegrend megnevezése"/>
    <x:tableColumn id="3" name="Réteg sorszáma"/>
    <x:tableColumn id="4" name="Terv szerinti anyag"/>
    <x:tableColumn id="5" name="Vastagság [cm]"/>
    <x:tableColumn id="6" name="Talált WinWatt katalógusanyag"/>
    <x:tableColumn id="7" name="Katalógus ID"/>
    <x:tableColumn id="8" name="Katalógus útvonal"/>
    <x:tableColumn id="9" name="Katalógusfájl"/>
    <x:tableColumn id="10" name="λ [W/mK]"/>
    <x:tableColumn id="11" name="Sűrűség [kg/m³]"/>
    <x:tableColumn id="12" name="Egyezés [%]"/>
    <x:tableColumn id="13" name="Gépi állapot"/>
    <x:tableColumn id="14" name="Döntés"/>
    <x:tableColumn id="15" name="Megjegyzé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789df03b3c7483a" /></Relationships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>
      <x:pane xSplit="2" ySplit="7" topLeftCell="C8" activePane="bottomRight" state="frozen"/>
    </x:sheetView>
  </x:sheetViews>
  <x:sheetFormatPr defaultRowHeight="15"/>
  <x:cols>
    <x:col min="1" max="1" width="10" hidden="0" customWidth="1"/>
    <x:col min="2" max="2" width="25" hidden="0" customWidth="1"/>
    <x:col min="3" max="3" width="12" hidden="0" customWidth="1"/>
    <x:col min="4" max="4" width="31" hidden="0" customWidth="1"/>
    <x:col min="5" max="5" width="14" hidden="0" customWidth="1"/>
    <x:col min="6" max="6" width="32" hidden="0" customWidth="1"/>
    <x:col min="7" max="7" width="12" hidden="0" customWidth="1"/>
    <x:col min="8" max="8" width="36" hidden="0" customWidth="1"/>
    <x:col min="9" max="9" width="22" hidden="0" customWidth="1"/>
    <x:col min="10" max="10" width="12" hidden="0" customWidth="1"/>
    <x:col min="11" max="11" width="16" hidden="0" customWidth="1"/>
    <x:col min="12" max="12" width="13" hidden="0" customWidth="1"/>
    <x:col min="13" max="13" width="18" hidden="0" customWidth="1"/>
    <x:col min="14" max="14" width="18" hidden="0" customWidth="1"/>
    <x:col min="15" max="15" width="32" hidden="0" customWidth="1"/>
  </x:cols>
  <x:sheetData>
    <x:row r="2" ht="25" customHeight="1">
      <x:c r="A2" s="1" t="str">
        <x:v>Délceg utca 56 – rétegrendi katalógusellenőrzés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</x:row>
    <x:row r="3" ht="22" customHeight="1">
      <x:c r="A3" s="2" t="str">
        <x:v>A Döntés oszlopban jelöld: OK = a katalóguspár elfogadható; KIHAGYHATÓ = ezt a réteget ne vegyük fel. A Megjegyzés mező szabadon szerkeszthető.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</x:row>
    <x:row r="5" ht="22" customHeight="1">
      <x:c r="A5" s="5" t="str">
        <x:v>Összes réteg</x:v>
      </x:c>
      <x:c r="B5" s="6" t="n">
        <x:v>50</x:v>
      </x:c>
      <x:c r="C5" s="5" t="str">
        <x:v>Elfogadva</x:v>
      </x:c>
      <x:c r="D5" s="5" t="n">
        <x:f>COUNTIF(N8:N57,"OK")</x:f>
        <x:v>0</x:v>
      </x:c>
      <x:c r="E5" s="5" t="str">
        <x:v>Kihagyható</x:v>
      </x:c>
      <x:c r="F5" s="5" t="n">
        <x:f>COUNTIF(N8:N57,"KIHAGYHATÓ")</x:f>
        <x:v>0</x:v>
      </x:c>
      <x:c r="G5" s="5"/>
      <x:c r="H5" s="5" t="str">
        <x:v>Hátralévő döntés</x:v>
      </x:c>
      <x:c r="I5" s="5" t="n">
        <x:f>COUNTBLANK(N8:N57)</x:f>
        <x:v>50</x:v>
      </x:c>
      <x:c r="J5" s="5" t="str">
        <x:v>Biztos katalógusegyezés</x:v>
      </x:c>
      <x:c r="K5" s="5" t="n">
        <x:v>1</x:v>
      </x:c>
    </x:row>
    <x:row r="7" ht="42" customHeight="1">
      <x:c r="A7" t="str">
        <x:v>Kód</x:v>
      </x:c>
      <x:c r="B7" t="str">
        <x:v>Rétegrend megnevezése</x:v>
      </x:c>
      <x:c r="C7" t="str">
        <x:v>Réteg sorszáma</x:v>
      </x:c>
      <x:c r="D7" t="str">
        <x:v>Terv szerinti anyag</x:v>
      </x:c>
      <x:c r="E7" t="str">
        <x:v>Vastagság [cm]</x:v>
      </x:c>
      <x:c r="F7" t="str">
        <x:v>Talált WinWatt katalógusanyag</x:v>
      </x:c>
      <x:c r="G7" t="str">
        <x:v>Katalógus ID</x:v>
      </x:c>
      <x:c r="H7" t="str">
        <x:v>Katalógus útvonal</x:v>
      </x:c>
      <x:c r="I7" t="str">
        <x:v>Katalógusfájl</x:v>
      </x:c>
      <x:c r="J7" t="str">
        <x:v>λ [W/mK]</x:v>
      </x:c>
      <x:c r="K7" t="str">
        <x:v>Sűrűség [kg/m³]</x:v>
      </x:c>
      <x:c r="L7" t="str">
        <x:v>Egyezés [%]</x:v>
      </x:c>
      <x:c r="M7" t="str">
        <x:v>Gépi állapot</x:v>
      </x:c>
      <x:c r="N7" t="str">
        <x:v>Döntés</x:v>
      </x:c>
      <x:c r="O7" t="str">
        <x:v>Megjegyzés</x:v>
      </x:c>
    </x:row>
    <x:row r="8" ht="32" customHeight="1">
      <x:c r="A8" s="8" t="str">
        <x:v>R1</x:v>
      </x:c>
      <x:c r="B8" s="9" t="str">
        <x:v>Meglévő tető</x:v>
      </x:c>
      <x:c r="C8" s="10" t="n">
        <x:v>1</x:v>
      </x:c>
      <x:c r="D8" s="9" t="str">
        <x:v>Kerámia tetőcserép</x:v>
      </x:c>
      <x:c r="E8" s="11" t="n">
        <x:v>1.5</x:v>
      </x:c>
      <x:c r="F8" s="9" t="str">
        <x:v>Agyagcserép</x:v>
      </x:c>
      <x:c r="G8" s="9" t="str">
        <x:v>1360</x:v>
      </x:c>
      <x:c r="H8" s="9" t="str">
        <x:v>MSZ EN ISO 10456\Cserepek, csempék</x:v>
      </x:c>
      <x:c r="I8" s="9" t="str">
        <x:v>MSZENISO10456.xml</x:v>
      </x:c>
      <x:c r="J8" s="12" t="n">
        <x:v>1</x:v>
      </x:c>
      <x:c r="K8" s="13" t="n">
        <x:v>2000</x:v>
      </x:c>
      <x:c r="L8" s="14" t="n">
        <x:v>0.428</x:v>
      </x:c>
      <x:c r="M8" s="9" t="str">
        <x:v>ELLENŐRIZENDŐ</x:v>
      </x:c>
      <x:c r="N8" s="16" t="str"/>
      <x:c r="O8" s="9" t="str"/>
    </x:row>
    <x:row r="9" ht="32" customHeight="1">
      <x:c r="A9" s="8" t="str">
        <x:v>R1</x:v>
      </x:c>
      <x:c r="B9" s="9" t="str">
        <x:v>Meglévő tető</x:v>
      </x:c>
      <x:c r="C9" s="10" t="n">
        <x:v>2</x:v>
      </x:c>
      <x:c r="D9" s="9" t="str">
        <x:v>Tetőléc</x:v>
      </x:c>
      <x:c r="E9" s="11" t="n">
        <x:v>2.5</x:v>
      </x:c>
      <x:c r="F9" s="9" t="str">
        <x:v>Fa fűrészárú 2</x:v>
      </x:c>
      <x:c r="G9" s="9" t="str">
        <x:v>1366</x:v>
      </x:c>
      <x:c r="H9" s="9" t="str">
        <x:v>MSZ EN ISO 10456\Faanyagok</x:v>
      </x:c>
      <x:c r="I9" s="9" t="str">
        <x:v>MSZENISO10456.xml</x:v>
      </x:c>
      <x:c r="J9" s="12" t="n">
        <x:v>0.13</x:v>
      </x:c>
      <x:c r="K9" s="13" t="n">
        <x:v>500</x:v>
      </x:c>
      <x:c r="L9" s="14" t="n">
        <x:v>0.45</x:v>
      </x:c>
      <x:c r="M9" s="9" t="str">
        <x:v>ELLENŐRIZENDŐ</x:v>
      </x:c>
      <x:c r="N9" s="16" t="str"/>
      <x:c r="O9" s="9" t="str"/>
    </x:row>
    <x:row r="10" ht="32" customHeight="1">
      <x:c r="A10" s="8" t="str">
        <x:v>R1</x:v>
      </x:c>
      <x:c r="B10" s="9" t="str">
        <x:v>Meglévő tető</x:v>
      </x:c>
      <x:c r="C10" s="10" t="n">
        <x:v>3</x:v>
      </x:c>
      <x:c r="D10" s="9" t="str">
        <x:v>Ellenléc</x:v>
      </x:c>
      <x:c r="E10" s="11" t="n">
        <x:v>2.5</x:v>
      </x:c>
      <x:c r="F10" s="9" t="str">
        <x:v>Fa fűrészárú 2</x:v>
      </x:c>
      <x:c r="G10" s="9" t="str">
        <x:v>1366</x:v>
      </x:c>
      <x:c r="H10" s="9" t="str">
        <x:v>MSZ EN ISO 10456\Faanyagok</x:v>
      </x:c>
      <x:c r="I10" s="9" t="str">
        <x:v>MSZENISO10456.xml</x:v>
      </x:c>
      <x:c r="J10" s="12" t="n">
        <x:v>0.13</x:v>
      </x:c>
      <x:c r="K10" s="13" t="n">
        <x:v>500</x:v>
      </x:c>
      <x:c r="L10" s="14" t="n">
        <x:v>0.45</x:v>
      </x:c>
      <x:c r="M10" s="9" t="str">
        <x:v>ELLENŐRIZENDŐ</x:v>
      </x:c>
      <x:c r="N10" s="16" t="str"/>
      <x:c r="O10" s="9" t="str"/>
    </x:row>
    <x:row r="11" ht="32" customHeight="1">
      <x:c r="A11" s="8" t="str">
        <x:v>R1</x:v>
      </x:c>
      <x:c r="B11" s="9" t="str">
        <x:v>Meglévő tető</x:v>
      </x:c>
      <x:c r="C11" s="10" t="n">
        <x:v>4</x:v>
      </x:c>
      <x:c r="D11" s="9" t="str">
        <x:v>Szarufa</x:v>
      </x:c>
      <x:c r="E11" s="11" t="n">
        <x:v>15</x:v>
      </x:c>
      <x:c r="F11" s="9" t="str">
        <x:v>Fa fűrészárú 2</x:v>
      </x:c>
      <x:c r="G11" s="9" t="str">
        <x:v>1366</x:v>
      </x:c>
      <x:c r="H11" s="9" t="str">
        <x:v>MSZ EN ISO 10456\Faanyagok</x:v>
      </x:c>
      <x:c r="I11" s="9" t="str">
        <x:v>MSZENISO10456.xml</x:v>
      </x:c>
      <x:c r="J11" s="12" t="n">
        <x:v>0.13</x:v>
      </x:c>
      <x:c r="K11" s="13" t="n">
        <x:v>500</x:v>
      </x:c>
      <x:c r="L11" s="14" t="n">
        <x:v>0.45</x:v>
      </x:c>
      <x:c r="M11" s="9" t="str">
        <x:v>ELLENŐRIZENDŐ</x:v>
      </x:c>
      <x:c r="N11" s="16" t="str"/>
      <x:c r="O11" s="9" t="str"/>
    </x:row>
    <x:row r="12" ht="32" customHeight="1">
      <x:c r="A12" s="8" t="str">
        <x:v>R5</x:v>
      </x:c>
      <x:c r="B12" s="9" t="str">
        <x:v>Tervezett homlokzati fal</x:v>
      </x:c>
      <x:c r="C12" s="10" t="n">
        <x:v>1</x:v>
      </x:c>
      <x:c r="D12" s="9" t="str">
        <x:v>Külső vakolat</x:v>
      </x:c>
      <x:c r="E12" s="11" t="n">
        <x:v>1</x:v>
      </x:c>
      <x:c r="F12" s="9" t="str">
        <x:v>dryvit kaparthatású vakolat</x:v>
      </x:c>
      <x:c r="G12" s="9" t="str">
        <x:v>901</x:v>
      </x:c>
      <x:c r="H12" s="9" t="str">
        <x:v>Hőszigetelő anyagok\NIKECELL</x:v>
      </x:c>
      <x:c r="I12" s="9" t="str">
        <x:v>Nikecell.xml</x:v>
      </x:c>
      <x:c r="J12" s="12" t="n">
        <x:v>0.99</x:v>
      </x:c>
      <x:c r="K12" s="13" t="n">
        <x:v>1800</x:v>
      </x:c>
      <x:c r="L12" s="14" t="n">
        <x:v>0.7</x:v>
      </x:c>
      <x:c r="M12" s="9" t="str">
        <x:v>ELLENŐRIZENDŐ</x:v>
      </x:c>
      <x:c r="N12" s="16" t="str"/>
      <x:c r="O12" s="9" t="str"/>
    </x:row>
    <x:row r="13" ht="32" customHeight="1">
      <x:c r="A13" s="8" t="str">
        <x:v>R5</x:v>
      </x:c>
      <x:c r="B13" s="9" t="str">
        <x:v>Tervezett homlokzati fal</x:v>
      </x:c>
      <x:c r="C13" s="10" t="n">
        <x:v>2</x:v>
      </x:c>
      <x:c r="D13" s="9" t="str">
        <x:v>AUSTROTHERM AT-H80 homlokzati hőszigetelés</x:v>
      </x:c>
      <x:c r="E13" s="11" t="n">
        <x:v>20</x:v>
      </x:c>
      <x:c r="F13" s="9" t="str">
        <x:v>AT-H80 expandált polisztirolhab</x:v>
      </x:c>
      <x:c r="G13" s="9" t="str">
        <x:v>364</x:v>
      </x:c>
      <x:c r="H13" s="9" t="str">
        <x:v>Hőszigetelő anyagok\Austrotherm\Expandált polisztirolhab</x:v>
      </x:c>
      <x:c r="I13" s="9" t="str">
        <x:v>austrotherm.xml</x:v>
      </x:c>
      <x:c r="J13" s="12" t="n">
        <x:v>0.04</x:v>
      </x:c>
      <x:c r="K13" s="13" t="n">
        <x:v>15</x:v>
      </x:c>
      <x:c r="L13" s="14" t="n">
        <x:v>0.721</x:v>
      </x:c>
      <x:c r="M13" s="9" t="str">
        <x:v>KATALÓGUS-EGYEZÉS</x:v>
      </x:c>
      <x:c r="N13" s="16" t="str"/>
      <x:c r="O13" s="9" t="str"/>
    </x:row>
    <x:row r="14" ht="32" customHeight="1">
      <x:c r="A14" s="8" t="str">
        <x:v>R5</x:v>
      </x:c>
      <x:c r="B14" s="9" t="str">
        <x:v>Tervezett homlokzati fal</x:v>
      </x:c>
      <x:c r="C14" s="10" t="n">
        <x:v>3</x:v>
      </x:c>
      <x:c r="D14" s="9" t="str">
        <x:v>Légzáró vakolat</x:v>
      </x:c>
      <x:c r="E14" s="11" t="n">
        <x:v>1.5</x:v>
      </x:c>
      <x:c r="F14" s="9" t="str">
        <x:v>Baumit Sanova Vakolat N (Nehéz)</x:v>
      </x:c>
      <x:c r="G14" s="9" t="str">
        <x:v>118</x:v>
      </x:c>
      <x:c r="H14" s="9" t="str">
        <x:v>BAUMIT\Felújító vakolatok</x:v>
      </x:c>
      <x:c r="I14" s="9" t="str">
        <x:v>baumit.xml</x:v>
      </x:c>
      <x:c r="J14" s="12" t="n">
        <x:v>0.8</x:v>
      </x:c>
      <x:c r="K14" s="13" t="n">
        <x:v>1630</x:v>
      </x:c>
      <x:c r="L14" s="14" t="n">
        <x:v>0.7</x:v>
      </x:c>
      <x:c r="M14" s="9" t="str">
        <x:v>ELLENŐRIZENDŐ</x:v>
      </x:c>
      <x:c r="N14" s="16" t="str"/>
      <x:c r="O14" s="9" t="str"/>
    </x:row>
    <x:row r="15" ht="32" customHeight="1">
      <x:c r="A15" s="8" t="str">
        <x:v>R5</x:v>
      </x:c>
      <x:c r="B15" s="9" t="str">
        <x:v>Tervezett homlokzati fal</x:v>
      </x:c>
      <x:c r="C15" s="10" t="n">
        <x:v>4</x:v>
      </x:c>
      <x:c r="D15" s="9" t="str">
        <x:v>Porotherm 38 vázkerámia falazat</x:v>
      </x:c>
      <x:c r="E15" s="11" t="n">
        <x:v>30</x:v>
      </x:c>
      <x:c r="F15" s="9" t="str">
        <x:v>POROTHERM födém 4 cm felbeton</x:v>
      </x:c>
      <x:c r="G15" s="9" t="str">
        <x:v>623</x:v>
      </x:c>
      <x:c r="H15" s="9" t="str">
        <x:v>POROTHERM termékek</x:v>
      </x:c>
      <x:c r="I15" s="9" t="str">
        <x:v>Porotherm.xml</x:v>
      </x:c>
      <x:c r="J15" s="12"/>
      <x:c r="K15" s="13" t="n">
        <x:v>1430</x:v>
      </x:c>
      <x:c r="L15" s="14" t="n">
        <x:v>0.6</x:v>
      </x:c>
      <x:c r="M15" s="9" t="str">
        <x:v>ELLENŐRIZENDŐ</x:v>
      </x:c>
      <x:c r="N15" s="16" t="str"/>
      <x:c r="O15" s="9" t="str"/>
    </x:row>
    <x:row r="16" ht="32" customHeight="1">
      <x:c r="A16" s="8" t="str">
        <x:v>R5</x:v>
      </x:c>
      <x:c r="B16" s="9" t="str">
        <x:v>Tervezett homlokzati fal</x:v>
      </x:c>
      <x:c r="C16" s="10" t="n">
        <x:v>5</x:v>
      </x:c>
      <x:c r="D16" s="9" t="str">
        <x:v>Belső vakolat</x:v>
      </x:c>
      <x:c r="E16" s="11" t="n">
        <x:v>1.5</x:v>
      </x:c>
      <x:c r="F16" s="9" t="str">
        <x:v>YTONG Hvb 8 belső vakolat</x:v>
      </x:c>
      <x:c r="G16" s="9" t="str">
        <x:v>785</x:v>
      </x:c>
      <x:c r="H16" s="9" t="str">
        <x:v>Vakolatok</x:v>
      </x:c>
      <x:c r="I16" s="9" t="str">
        <x:v>ytong.xml</x:v>
      </x:c>
      <x:c r="J16" s="12" t="n">
        <x:v>0.75</x:v>
      </x:c>
      <x:c r="K16" s="13" t="n">
        <x:v>1430</x:v>
      </x:c>
      <x:c r="L16" s="14" t="n">
        <x:v>0.949</x:v>
      </x:c>
      <x:c r="M16" s="9" t="str">
        <x:v>ELLENŐRIZENDŐ</x:v>
      </x:c>
      <x:c r="N16" s="16" t="str"/>
      <x:c r="O16" s="9" t="str"/>
    </x:row>
    <x:row r="17" ht="32" customHeight="1">
      <x:c r="A17" s="8" t="str">
        <x:v>R6</x:v>
      </x:c>
      <x:c r="B17" s="9" t="str">
        <x:v>Tetőterasz</x:v>
      </x:c>
      <x:c r="C17" s="10" t="n">
        <x:v>1</x:v>
      </x:c>
      <x:c r="D17" s="9" t="str">
        <x:v>WPC burkolat</x:v>
      </x:c>
      <x:c r="E17" s="11" t="n">
        <x:v>2</x:v>
      </x:c>
      <x:c r="F17" s="9" t="str">
        <x:v>Gumi</x:v>
      </x:c>
      <x:c r="G17" s="9" t="str">
        <x:v>1257</x:v>
      </x:c>
      <x:c r="H17" s="9" t="str">
        <x:v>MSZ EN ISO 10456\Burkolatok</x:v>
      </x:c>
      <x:c r="I17" s="9" t="str">
        <x:v>MSZENISO10456.xml</x:v>
      </x:c>
      <x:c r="J17" s="12" t="n">
        <x:v>0.17</x:v>
      </x:c>
      <x:c r="K17" s="13" t="n">
        <x:v>1200</x:v>
      </x:c>
      <x:c r="L17" s="14" t="n">
        <x:v>0.405</x:v>
      </x:c>
      <x:c r="M17" s="9" t="str">
        <x:v>ELLENŐRIZENDŐ</x:v>
      </x:c>
      <x:c r="N17" s="16" t="str"/>
      <x:c r="O17" s="9" t="str"/>
    </x:row>
    <x:row r="18" ht="32" customHeight="1">
      <x:c r="A18" s="8" t="str">
        <x:v>R6</x:v>
      </x:c>
      <x:c r="B18" s="9" t="str">
        <x:v>Tetőterasz</x:v>
      </x:c>
      <x:c r="C18" s="10" t="n">
        <x:v>2</x:v>
      </x:c>
      <x:c r="D18" s="9" t="str">
        <x:v>Bazaltzúzalék</x:v>
      </x:c>
      <x:c r="E18" s="11" t="n">
        <x:v>3</x:v>
      </x:c>
      <x:c r="F18" s="9" t="str">
        <x:v>homokos, kavicsos talaj 1</x:v>
      </x:c>
      <x:c r="G18" s="9" t="str">
        <x:v>1344</x:v>
      </x:c>
      <x:c r="H18" s="9" t="str">
        <x:v>MSZ EN ISO 10456\Talajok</x:v>
      </x:c>
      <x:c r="I18" s="9" t="str">
        <x:v>MSZENISO10456.xml</x:v>
      </x:c>
      <x:c r="J18" s="12" t="n">
        <x:v>2</x:v>
      </x:c>
      <x:c r="K18" s="13" t="n">
        <x:v>1700</x:v>
      </x:c>
      <x:c r="L18" s="14" t="n">
        <x:v>0.408</x:v>
      </x:c>
      <x:c r="M18" s="9" t="str">
        <x:v>ELLENŐRIZENDŐ</x:v>
      </x:c>
      <x:c r="N18" s="16" t="str"/>
      <x:c r="O18" s="9" t="str"/>
    </x:row>
    <x:row r="19" ht="32" customHeight="1">
      <x:c r="A19" s="8" t="str">
        <x:v>R6</x:v>
      </x:c>
      <x:c r="B19" s="9" t="str">
        <x:v>Tetőterasz</x:v>
      </x:c>
      <x:c r="C19" s="10" t="n">
        <x:v>3</x:v>
      </x:c>
      <x:c r="D19" s="9" t="str">
        <x:v>Bitumenes vízszigetelés két réteg</x:v>
      </x:c>
      <x:c r="E19" s="11" t="n">
        <x:v>0.8</x:v>
      </x:c>
      <x:c r="F19" s="9" t="str">
        <x:v>Alu. betétes párazáró lemez</x:v>
      </x:c>
      <x:c r="G19" s="9" t="str">
        <x:v>1008</x:v>
      </x:c>
      <x:c r="H19" s="9" t="str">
        <x:v>Fóliák</x:v>
      </x:c>
      <x:c r="I19" s="9" t="str">
        <x:v>egy�b.xml</x:v>
      </x:c>
      <x:c r="J19" s="12" t="n">
        <x:v>0.17</x:v>
      </x:c>
      <x:c r="K19" s="13" t="n">
        <x:v>1100</x:v>
      </x:c>
      <x:c r="L19" s="14" t="n">
        <x:v>0.45</x:v>
      </x:c>
      <x:c r="M19" s="9" t="str">
        <x:v>ELLENŐRIZENDŐ</x:v>
      </x:c>
      <x:c r="N19" s="16" t="str"/>
      <x:c r="O19" s="9" t="str"/>
    </x:row>
    <x:row r="20" ht="32" customHeight="1">
      <x:c r="A20" s="8" t="str">
        <x:v>R6</x:v>
      </x:c>
      <x:c r="B20" s="9" t="str">
        <x:v>Tetőterasz</x:v>
      </x:c>
      <x:c r="C20" s="10" t="n">
        <x:v>4</x:v>
      </x:c>
      <x:c r="D20" s="9" t="str">
        <x:v>PUR hőszigetelés</x:v>
      </x:c>
      <x:c r="E20" s="11" t="n">
        <x:v>15</x:v>
      </x:c>
      <x:c r="F20" s="9" t="str">
        <x:v>BACHL tecta-PUR DS 5cm</x:v>
      </x:c>
      <x:c r="G20" s="9" t="str">
        <x:v>966</x:v>
      </x:c>
      <x:c r="H20" s="9" t="str">
        <x:v>BACHL-NIKECELL\Bachl PIR</x:v>
      </x:c>
      <x:c r="I20" s="9" t="str">
        <x:v>Bachl h�szigetel�sek.xml</x:v>
      </x:c>
      <x:c r="J20" s="12" t="n">
        <x:v>0.026</x:v>
      </x:c>
      <x:c r="K20" s="13" t="n">
        <x:v>30</x:v>
      </x:c>
      <x:c r="L20" s="14" t="n">
        <x:v>0.704</x:v>
      </x:c>
      <x:c r="M20" s="9" t="str">
        <x:v>ELLENŐRIZENDŐ</x:v>
      </x:c>
      <x:c r="N20" s="16" t="str"/>
      <x:c r="O20" s="9" t="str"/>
    </x:row>
    <x:row r="21" ht="32" customHeight="1">
      <x:c r="A21" s="8" t="str">
        <x:v>R6</x:v>
      </x:c>
      <x:c r="B21" s="9" t="str">
        <x:v>Tetőterasz</x:v>
      </x:c>
      <x:c r="C21" s="10" t="n">
        <x:v>5</x:v>
      </x:c>
      <x:c r="D21" s="9" t="str">
        <x:v>Lejtést adó beton átlag</x:v>
      </x:c>
      <x:c r="E21" s="11" t="n">
        <x:v>3.5</x:v>
      </x:c>
      <x:c r="F21" s="9" t="str">
        <x:v>Beton 3</x:v>
      </x:c>
      <x:c r="G21" s="9" t="str">
        <x:v>1252</x:v>
      </x:c>
      <x:c r="H21" s="9" t="str">
        <x:v>MSZ EN ISO 10456\Betonok</x:v>
      </x:c>
      <x:c r="I21" s="9" t="str">
        <x:v>MSZENISO10456.xml</x:v>
      </x:c>
      <x:c r="J21" s="12" t="n">
        <x:v>1.65</x:v>
      </x:c>
      <x:c r="K21" s="13" t="n">
        <x:v>2200</x:v>
      </x:c>
      <x:c r="L21" s="14" t="n">
        <x:v>0.554</x:v>
      </x:c>
      <x:c r="M21" s="9" t="str">
        <x:v>ELLENŐRIZENDŐ</x:v>
      </x:c>
      <x:c r="N21" s="16" t="str"/>
      <x:c r="O21" s="9" t="str"/>
    </x:row>
    <x:row r="22" ht="32" customHeight="1">
      <x:c r="A22" s="8" t="str">
        <x:v>R6</x:v>
      </x:c>
      <x:c r="B22" s="9" t="str">
        <x:v>Tetőterasz</x:v>
      </x:c>
      <x:c r="C22" s="10" t="n">
        <x:v>6</x:v>
      </x:c>
      <x:c r="D22" s="9" t="str">
        <x:v>Meglévő födémszerkezet ismeretlen</x:v>
      </x:c>
      <x:c r="E22" s="11" t="n">
        <x:v>1</x:v>
      </x:c>
      <x:c r="F22" s="9" t="str">
        <x:v>HDPE párafékező fólia</x:v>
      </x:c>
      <x:c r="G22" s="9" t="str">
        <x:v>1015</x:v>
      </x:c>
      <x:c r="H22" s="9" t="str">
        <x:v>Fóliák</x:v>
      </x:c>
      <x:c r="I22" s="9" t="str">
        <x:v>egy�b.xml</x:v>
      </x:c>
      <x:c r="J22" s="12" t="n">
        <x:v>0.1</x:v>
      </x:c>
      <x:c r="K22" s="13" t="n">
        <x:v>0.9</x:v>
      </x:c>
      <x:c r="L22" s="14" t="n">
        <x:v>0.203</x:v>
      </x:c>
      <x:c r="M22" s="9" t="str">
        <x:v>ELLENŐRIZENDŐ</x:v>
      </x:c>
      <x:c r="N22" s="16" t="str"/>
      <x:c r="O22" s="9" t="str"/>
    </x:row>
    <x:row r="23" ht="32" customHeight="1">
      <x:c r="A23" s="8" t="str">
        <x:v>R7</x:v>
      </x:c>
      <x:c r="B23" s="9" t="str">
        <x:v>Padlásfödém</x:v>
      </x:c>
      <x:c r="C23" s="10" t="n">
        <x:v>1</x:v>
      </x:c>
      <x:c r="D23" s="9" t="str">
        <x:v>Kőzetgyapot hőszigetelés</x:v>
      </x:c>
      <x:c r="E23" s="11" t="n">
        <x:v>25</x:v>
      </x:c>
      <x:c r="F23" s="9" t="str">
        <x:v>Heralan DP-4</x:v>
      </x:c>
      <x:c r="G23" s="9" t="str">
        <x:v>440</x:v>
      </x:c>
      <x:c r="H23" s="9" t="str">
        <x:v>Hőszigetelő anyagok\Heralan kőzetgyapot</x:v>
      </x:c>
      <x:c r="I23" s="9" t="str">
        <x:v>heraklith.xml</x:v>
      </x:c>
      <x:c r="J23" s="12" t="n">
        <x:v>0.039</x:v>
      </x:c>
      <x:c r="K23" s="13" t="n">
        <x:v>40</x:v>
      </x:c>
      <x:c r="L23" s="14" t="n">
        <x:v>0.701</x:v>
      </x:c>
      <x:c r="M23" s="9" t="str">
        <x:v>ELLENŐRIZENDŐ</x:v>
      </x:c>
      <x:c r="N23" s="16" t="str"/>
      <x:c r="O23" s="9" t="str"/>
    </x:row>
    <x:row r="24" ht="32" customHeight="1">
      <x:c r="A24" s="8" t="str">
        <x:v>R7</x:v>
      </x:c>
      <x:c r="B24" s="9" t="str">
        <x:v>Padlásfödém</x:v>
      </x:c>
      <x:c r="C24" s="10" t="n">
        <x:v>2</x:v>
      </x:c>
      <x:c r="D24" s="9" t="str">
        <x:v>Tűzgátló gipszkarton két réteg</x:v>
      </x:c>
      <x:c r="E24" s="11" t="n">
        <x:v>2.5</x:v>
      </x:c>
      <x:c r="F24" s="9" t="str">
        <x:v>Gipszkarton 2</x:v>
      </x:c>
      <x:c r="G24" s="9" t="str">
        <x:v>1333</x:v>
      </x:c>
      <x:c r="H24" s="9" t="str">
        <x:v>MSZ EN ISO 10456\Gipsz, gipsztermékek</x:v>
      </x:c>
      <x:c r="I24" s="9" t="str">
        <x:v>MSZENISO10456.xml</x:v>
      </x:c>
      <x:c r="J24" s="12" t="n">
        <x:v>0.25</x:v>
      </x:c>
      <x:c r="K24" s="13" t="n">
        <x:v>900</x:v>
      </x:c>
      <x:c r="L24" s="14" t="n">
        <x:v>0.588</x:v>
      </x:c>
      <x:c r="M24" s="9" t="str">
        <x:v>ELLENŐRIZENDŐ</x:v>
      </x:c>
      <x:c r="N24" s="16" t="str"/>
      <x:c r="O24" s="9" t="str"/>
    </x:row>
    <x:row r="25" ht="32" customHeight="1">
      <x:c r="A25" s="8" t="str">
        <x:v>R8</x:v>
      </x:c>
      <x:c r="B25" s="9" t="str">
        <x:v>Közbenső födém 4 cm</x:v>
      </x:c>
      <x:c r="C25" s="10" t="n">
        <x:v>1</x:v>
      </x:c>
      <x:c r="D25" s="9" t="str">
        <x:v>Padlóburkolat és ragasztó</x:v>
      </x:c>
      <x:c r="E25" s="11" t="n">
        <x:v>2</x:v>
      </x:c>
      <x:c r="F25" s="9" t="str">
        <x:v>dryvit poralakú ragasztó</x:v>
      </x:c>
      <x:c r="G25" s="9" t="str">
        <x:v>900</x:v>
      </x:c>
      <x:c r="H25" s="9" t="str">
        <x:v>Hőszigetelő anyagok\NIKECELL</x:v>
      </x:c>
      <x:c r="I25" s="9" t="str">
        <x:v>Nikecell.xml</x:v>
      </x:c>
      <x:c r="J25" s="12" t="n">
        <x:v>0.93</x:v>
      </x:c>
      <x:c r="K25" s="13" t="n">
        <x:v>1800</x:v>
      </x:c>
      <x:c r="L25" s="14" t="n">
        <x:v>0.708</x:v>
      </x:c>
      <x:c r="M25" s="9" t="str">
        <x:v>ELLENŐRIZENDŐ</x:v>
      </x:c>
      <x:c r="N25" s="16" t="str"/>
      <x:c r="O25" s="9" t="str"/>
    </x:row>
    <x:row r="26" ht="32" customHeight="1">
      <x:c r="A26" s="8" t="str">
        <x:v>R8</x:v>
      </x:c>
      <x:c r="B26" s="9" t="str">
        <x:v>Közbenső födém 4 cm</x:v>
      </x:c>
      <x:c r="C26" s="10" t="n">
        <x:v>2</x:v>
      </x:c>
      <x:c r="D26" s="9" t="str">
        <x:v>Estrich aljzatbeton</x:v>
      </x:c>
      <x:c r="E26" s="11" t="n">
        <x:v>6</x:v>
      </x:c>
      <x:c r="F26" s="9" t="str">
        <x:v>Baumit Esztrich E225</x:v>
      </x:c>
      <x:c r="G26" s="9" t="str">
        <x:v>102</x:v>
      </x:c>
      <x:c r="H26" s="9" t="str">
        <x:v>BAUMIT\Esztrichek</x:v>
      </x:c>
      <x:c r="I26" s="9" t="str">
        <x:v>baumit.xml</x:v>
      </x:c>
      <x:c r="J26" s="12" t="n">
        <x:v>1.4</x:v>
      </x:c>
      <x:c r="K26" s="13" t="n">
        <x:v>2000</x:v>
      </x:c>
      <x:c r="L26" s="14" t="n">
        <x:v>0.45</x:v>
      </x:c>
      <x:c r="M26" s="9" t="str">
        <x:v>ELLENŐRIZENDŐ</x:v>
      </x:c>
      <x:c r="N26" s="16" t="str"/>
      <x:c r="O26" s="9" t="str"/>
    </x:row>
    <x:row r="27" ht="32" customHeight="1">
      <x:c r="A27" s="8" t="str">
        <x:v>R8</x:v>
      </x:c>
      <x:c r="B27" s="9" t="str">
        <x:v>Közbenső födém 4 cm</x:v>
      </x:c>
      <x:c r="C27" s="10" t="n">
        <x:v>3</x:v>
      </x:c>
      <x:c r="D27" s="9" t="str">
        <x:v>Lépésálló hőszigetelés</x:v>
      </x:c>
      <x:c r="E27" s="11" t="n">
        <x:v>4</x:v>
      </x:c>
      <x:c r="F27" s="9" t="str">
        <x:v>Isoland N150 - lépésálló eps</x:v>
      </x:c>
      <x:c r="G27" s="9" t="str">
        <x:v>1274</x:v>
      </x:c>
      <x:c r="H27" s="9" t="str">
        <x:v>Hőszigetelő anyagok\CARBOLAND</x:v>
      </x:c>
      <x:c r="I27" s="9" t="str">
        <x:v>CARBOLAND.xml</x:v>
      </x:c>
      <x:c r="J27" s="12" t="n">
        <x:v>0.034</x:v>
      </x:c>
      <x:c r="K27" s="13" t="n">
        <x:v>25</x:v>
      </x:c>
      <x:c r="L27" s="14" t="n">
        <x:v>0.706</x:v>
      </x:c>
      <x:c r="M27" s="9" t="str">
        <x:v>ELLENŐRIZENDŐ</x:v>
      </x:c>
      <x:c r="N27" s="16" t="str"/>
      <x:c r="O27" s="9" t="str"/>
    </x:row>
    <x:row r="28" ht="32" customHeight="1">
      <x:c r="A28" s="8" t="str">
        <x:v>R8</x:v>
      </x:c>
      <x:c r="B28" s="9" t="str">
        <x:v>Közbenső födém 4 cm</x:v>
      </x:c>
      <x:c r="C28" s="10" t="n">
        <x:v>4</x:v>
      </x:c>
      <x:c r="D28" s="9" t="str">
        <x:v>Monolit vasbeton födém</x:v>
      </x:c>
      <x:c r="E28" s="11" t="n">
        <x:v>20</x:v>
      </x:c>
      <x:c r="F28" s="9" t="str">
        <x:v>Vasbeton (1 % acél)</x:v>
      </x:c>
      <x:c r="G28" s="9" t="str">
        <x:v>1254</x:v>
      </x:c>
      <x:c r="H28" s="9" t="str">
        <x:v>MSZ EN ISO 10456\Betonok</x:v>
      </x:c>
      <x:c r="I28" s="9" t="str">
        <x:v>MSZENISO10456.xml</x:v>
      </x:c>
      <x:c r="J28" s="12" t="n">
        <x:v>2.3</x:v>
      </x:c>
      <x:c r="K28" s="13" t="n">
        <x:v>2300</x:v>
      </x:c>
      <x:c r="L28" s="14" t="n">
        <x:v>0.554</x:v>
      </x:c>
      <x:c r="M28" s="9" t="str">
        <x:v>ELLENŐRIZENDŐ</x:v>
      </x:c>
      <x:c r="N28" s="16" t="str"/>
      <x:c r="O28" s="9" t="str"/>
    </x:row>
    <x:row r="29" ht="32" customHeight="1">
      <x:c r="A29" s="8" t="str">
        <x:v>R9</x:v>
      </x:c>
      <x:c r="B29" s="9" t="str">
        <x:v>Közbenső födém 12 cm</x:v>
      </x:c>
      <x:c r="C29" s="10" t="n">
        <x:v>1</x:v>
      </x:c>
      <x:c r="D29" s="9" t="str">
        <x:v>Padlóburkolat és ragasztó</x:v>
      </x:c>
      <x:c r="E29" s="11" t="n">
        <x:v>2</x:v>
      </x:c>
      <x:c r="F29" s="9" t="str">
        <x:v>dryvit poralakú ragasztó</x:v>
      </x:c>
      <x:c r="G29" s="9" t="str">
        <x:v>900</x:v>
      </x:c>
      <x:c r="H29" s="9" t="str">
        <x:v>Hőszigetelő anyagok\NIKECELL</x:v>
      </x:c>
      <x:c r="I29" s="9" t="str">
        <x:v>Nikecell.xml</x:v>
      </x:c>
      <x:c r="J29" s="12" t="n">
        <x:v>0.93</x:v>
      </x:c>
      <x:c r="K29" s="13" t="n">
        <x:v>1800</x:v>
      </x:c>
      <x:c r="L29" s="14" t="n">
        <x:v>0.708</x:v>
      </x:c>
      <x:c r="M29" s="9" t="str">
        <x:v>ELLENŐRIZENDŐ</x:v>
      </x:c>
      <x:c r="N29" s="16" t="str"/>
      <x:c r="O29" s="9" t="str"/>
    </x:row>
    <x:row r="30" ht="32" customHeight="1">
      <x:c r="A30" s="8" t="str">
        <x:v>R9</x:v>
      </x:c>
      <x:c r="B30" s="9" t="str">
        <x:v>Közbenső födém 12 cm</x:v>
      </x:c>
      <x:c r="C30" s="10" t="n">
        <x:v>2</x:v>
      </x:c>
      <x:c r="D30" s="9" t="str">
        <x:v>Estrich aljzatbeton</x:v>
      </x:c>
      <x:c r="E30" s="11" t="n">
        <x:v>6</x:v>
      </x:c>
      <x:c r="F30" s="9" t="str">
        <x:v>Baumit Esztrich E225</x:v>
      </x:c>
      <x:c r="G30" s="9" t="str">
        <x:v>102</x:v>
      </x:c>
      <x:c r="H30" s="9" t="str">
        <x:v>BAUMIT\Esztrichek</x:v>
      </x:c>
      <x:c r="I30" s="9" t="str">
        <x:v>baumit.xml</x:v>
      </x:c>
      <x:c r="J30" s="12" t="n">
        <x:v>1.4</x:v>
      </x:c>
      <x:c r="K30" s="13" t="n">
        <x:v>2000</x:v>
      </x:c>
      <x:c r="L30" s="14" t="n">
        <x:v>0.45</x:v>
      </x:c>
      <x:c r="M30" s="9" t="str">
        <x:v>ELLENŐRIZENDŐ</x:v>
      </x:c>
      <x:c r="N30" s="16" t="str"/>
      <x:c r="O30" s="9" t="str"/>
    </x:row>
    <x:row r="31" ht="32" customHeight="1">
      <x:c r="A31" s="8" t="str">
        <x:v>R9</x:v>
      </x:c>
      <x:c r="B31" s="9" t="str">
        <x:v>Közbenső födém 12 cm</x:v>
      </x:c>
      <x:c r="C31" s="10" t="n">
        <x:v>3</x:v>
      </x:c>
      <x:c r="D31" s="9" t="str">
        <x:v>Lépésálló hőszigetelés</x:v>
      </x:c>
      <x:c r="E31" s="11" t="n">
        <x:v>12</x:v>
      </x:c>
      <x:c r="F31" s="9" t="str">
        <x:v>Isoland N150 - lépésálló eps</x:v>
      </x:c>
      <x:c r="G31" s="9" t="str">
        <x:v>1274</x:v>
      </x:c>
      <x:c r="H31" s="9" t="str">
        <x:v>Hőszigetelő anyagok\CARBOLAND</x:v>
      </x:c>
      <x:c r="I31" s="9" t="str">
        <x:v>CARBOLAND.xml</x:v>
      </x:c>
      <x:c r="J31" s="12" t="n">
        <x:v>0.034</x:v>
      </x:c>
      <x:c r="K31" s="13" t="n">
        <x:v>25</x:v>
      </x:c>
      <x:c r="L31" s="14" t="n">
        <x:v>0.706</x:v>
      </x:c>
      <x:c r="M31" s="9" t="str">
        <x:v>ELLENŐRIZENDŐ</x:v>
      </x:c>
      <x:c r="N31" s="16" t="str"/>
      <x:c r="O31" s="9" t="str"/>
    </x:row>
    <x:row r="32" ht="32" customHeight="1">
      <x:c r="A32" s="8" t="str">
        <x:v>R9</x:v>
      </x:c>
      <x:c r="B32" s="9" t="str">
        <x:v>Közbenső födém 12 cm</x:v>
      </x:c>
      <x:c r="C32" s="10" t="n">
        <x:v>4</x:v>
      </x:c>
      <x:c r="D32" s="9" t="str">
        <x:v>Monolit vasbeton födém</x:v>
      </x:c>
      <x:c r="E32" s="11" t="n">
        <x:v>20</x:v>
      </x:c>
      <x:c r="F32" s="9" t="str">
        <x:v>Vasbeton (1 % acél)</x:v>
      </x:c>
      <x:c r="G32" s="9" t="str">
        <x:v>1254</x:v>
      </x:c>
      <x:c r="H32" s="9" t="str">
        <x:v>MSZ EN ISO 10456\Betonok</x:v>
      </x:c>
      <x:c r="I32" s="9" t="str">
        <x:v>MSZENISO10456.xml</x:v>
      </x:c>
      <x:c r="J32" s="12" t="n">
        <x:v>2.3</x:v>
      </x:c>
      <x:c r="K32" s="13" t="n">
        <x:v>2300</x:v>
      </x:c>
      <x:c r="L32" s="14" t="n">
        <x:v>0.554</x:v>
      </x:c>
      <x:c r="M32" s="9" t="str">
        <x:v>ELLENŐRIZENDŐ</x:v>
      </x:c>
      <x:c r="N32" s="16" t="str"/>
      <x:c r="O32" s="9" t="str"/>
    </x:row>
    <x:row r="33" ht="32" customHeight="1">
      <x:c r="A33" s="8" t="str">
        <x:v>R10</x:v>
      </x:c>
      <x:c r="B33" s="9" t="str">
        <x:v>Közbenső fal</x:v>
      </x:c>
      <x:c r="C33" s="10" t="n">
        <x:v>1</x:v>
      </x:c>
      <x:c r="D33" s="9" t="str">
        <x:v>Belső vakolat</x:v>
      </x:c>
      <x:c r="E33" s="11" t="n">
        <x:v>1.5</x:v>
      </x:c>
      <x:c r="F33" s="9" t="str">
        <x:v>YTONG Hvb 8 belső vakolat</x:v>
      </x:c>
      <x:c r="G33" s="9" t="str">
        <x:v>785</x:v>
      </x:c>
      <x:c r="H33" s="9" t="str">
        <x:v>Vakolatok</x:v>
      </x:c>
      <x:c r="I33" s="9" t="str">
        <x:v>ytong.xml</x:v>
      </x:c>
      <x:c r="J33" s="12" t="n">
        <x:v>0.75</x:v>
      </x:c>
      <x:c r="K33" s="13" t="n">
        <x:v>1430</x:v>
      </x:c>
      <x:c r="L33" s="14" t="n">
        <x:v>0.949</x:v>
      </x:c>
      <x:c r="M33" s="9" t="str">
        <x:v>ELLENŐRIZENDŐ</x:v>
      </x:c>
      <x:c r="N33" s="16" t="str"/>
      <x:c r="O33" s="9" t="str"/>
    </x:row>
    <x:row r="34" ht="32" customHeight="1">
      <x:c r="A34" s="8" t="str">
        <x:v>R10</x:v>
      </x:c>
      <x:c r="B34" s="9" t="str">
        <x:v>Közbenső fal</x:v>
      </x:c>
      <x:c r="C34" s="10" t="n">
        <x:v>2</x:v>
      </x:c>
      <x:c r="D34" s="9" t="str">
        <x:v>Porotherm vázkerámia falazat</x:v>
      </x:c>
      <x:c r="E34" s="11" t="n">
        <x:v>20</x:v>
      </x:c>
      <x:c r="F34" s="9" t="str">
        <x:v>POROTHERM födém 4 cm felbeton</x:v>
      </x:c>
      <x:c r="G34" s="9" t="str">
        <x:v>623</x:v>
      </x:c>
      <x:c r="H34" s="9" t="str">
        <x:v>POROTHERM termékek</x:v>
      </x:c>
      <x:c r="I34" s="9" t="str">
        <x:v>Porotherm.xml</x:v>
      </x:c>
      <x:c r="J34" s="12"/>
      <x:c r="K34" s="13" t="n">
        <x:v>1430</x:v>
      </x:c>
      <x:c r="L34" s="14" t="n">
        <x:v>0.6</x:v>
      </x:c>
      <x:c r="M34" s="9" t="str">
        <x:v>ELLENŐRIZENDŐ</x:v>
      </x:c>
      <x:c r="N34" s="16" t="str"/>
      <x:c r="O34" s="9" t="str"/>
    </x:row>
    <x:row r="35" ht="32" customHeight="1">
      <x:c r="A35" s="8" t="str">
        <x:v>R13</x:v>
      </x:c>
      <x:c r="B35" s="9" t="str">
        <x:v>Terasz</x:v>
      </x:c>
      <x:c r="C35" s="10" t="n">
        <x:v>1</x:v>
      </x:c>
      <x:c r="D35" s="9" t="str">
        <x:v>Fagyálló kerámia burkolat és ragasztó</x:v>
      </x:c>
      <x:c r="E35" s="11" t="n">
        <x:v>2</x:v>
      </x:c>
      <x:c r="F35" s="9" t="str">
        <x:v>dryvit poralakú ragasztó</x:v>
      </x:c>
      <x:c r="G35" s="9" t="str">
        <x:v>900</x:v>
      </x:c>
      <x:c r="H35" s="9" t="str">
        <x:v>Hőszigetelő anyagok\NIKECELL</x:v>
      </x:c>
      <x:c r="I35" s="9" t="str">
        <x:v>Nikecell.xml</x:v>
      </x:c>
      <x:c r="J35" s="12" t="n">
        <x:v>0.93</x:v>
      </x:c>
      <x:c r="K35" s="13" t="n">
        <x:v>1800</x:v>
      </x:c>
      <x:c r="L35" s="14" t="n">
        <x:v>0.57</x:v>
      </x:c>
      <x:c r="M35" s="9" t="str">
        <x:v>ELLENŐRIZENDŐ</x:v>
      </x:c>
      <x:c r="N35" s="16" t="str"/>
      <x:c r="O35" s="9" t="str"/>
    </x:row>
    <x:row r="36" ht="32" customHeight="1">
      <x:c r="A36" s="8" t="str">
        <x:v>R13</x:v>
      </x:c>
      <x:c r="B36" s="9" t="str">
        <x:v>Terasz</x:v>
      </x:c>
      <x:c r="C36" s="10" t="n">
        <x:v>2</x:v>
      </x:c>
      <x:c r="D36" s="9" t="str">
        <x:v>Lejtést adó aljzatbeton átlag</x:v>
      </x:c>
      <x:c r="E36" s="11" t="n">
        <x:v>5</x:v>
      </x:c>
      <x:c r="F36" s="9" t="str">
        <x:v>Baumit Esztrich E225</x:v>
      </x:c>
      <x:c r="G36" s="9" t="str">
        <x:v>102</x:v>
      </x:c>
      <x:c r="H36" s="9" t="str">
        <x:v>BAUMIT\Esztrichek</x:v>
      </x:c>
      <x:c r="I36" s="9" t="str">
        <x:v>baumit.xml</x:v>
      </x:c>
      <x:c r="J36" s="12" t="n">
        <x:v>1.4</x:v>
      </x:c>
      <x:c r="K36" s="13" t="n">
        <x:v>2000</x:v>
      </x:c>
      <x:c r="L36" s="14" t="n">
        <x:v>0.422</x:v>
      </x:c>
      <x:c r="M36" s="9" t="str">
        <x:v>ELLENŐRIZENDŐ</x:v>
      </x:c>
      <x:c r="N36" s="16" t="str"/>
      <x:c r="O36" s="9" t="str"/>
    </x:row>
    <x:row r="37" ht="32" customHeight="1">
      <x:c r="A37" s="8" t="str">
        <x:v>R13</x:v>
      </x:c>
      <x:c r="B37" s="9" t="str">
        <x:v>Terasz</x:v>
      </x:c>
      <x:c r="C37" s="10" t="n">
        <x:v>3</x:v>
      </x:c>
      <x:c r="D37" s="9" t="str">
        <x:v>Kenhető vízszigetelés két réteg</x:v>
      </x:c>
      <x:c r="E37" s="11" t="n">
        <x:v>0.4</x:v>
      </x:c>
      <x:c r="F37" s="9" t="str">
        <x:v>Masterfol CLASSIC ALU</x:v>
      </x:c>
      <x:c r="G37" s="9" t="str">
        <x:v>960</x:v>
      </x:c>
      <x:c r="H37" s="9" t="str">
        <x:v>Fóliák\MASTERPLAST termékek\Párazáró fóliák</x:v>
      </x:c>
      <x:c r="I37" s="9" t="str">
        <x:v>Masterplast.xml</x:v>
      </x:c>
      <x:c r="J37" s="12" t="n">
        <x:v>0.2</x:v>
      </x:c>
      <x:c r="K37" s="13"/>
      <x:c r="L37" s="14" t="n">
        <x:v>0.45</x:v>
      </x:c>
      <x:c r="M37" s="9" t="str">
        <x:v>ELLENŐRIZENDŐ</x:v>
      </x:c>
      <x:c r="N37" s="16" t="str"/>
      <x:c r="O37" s="9" t="str"/>
    </x:row>
    <x:row r="38" ht="32" customHeight="1">
      <x:c r="A38" s="8" t="str">
        <x:v>R13</x:v>
      </x:c>
      <x:c r="B38" s="9" t="str">
        <x:v>Terasz</x:v>
      </x:c>
      <x:c r="C38" s="10" t="n">
        <x:v>4</x:v>
      </x:c>
      <x:c r="D38" s="9" t="str">
        <x:v>Vasalt aljzatlemez</x:v>
      </x:c>
      <x:c r="E38" s="11" t="n">
        <x:v>15</x:v>
      </x:c>
      <x:c r="F38" s="9" t="str">
        <x:v>Vasbeton (1 % acél)</x:v>
      </x:c>
      <x:c r="G38" s="9" t="str">
        <x:v>1254</x:v>
      </x:c>
      <x:c r="H38" s="9" t="str">
        <x:v>MSZ EN ISO 10456\Betonok</x:v>
      </x:c>
      <x:c r="I38" s="9" t="str">
        <x:v>MSZENISO10456.xml</x:v>
      </x:c>
      <x:c r="J38" s="12" t="n">
        <x:v>2.3</x:v>
      </x:c>
      <x:c r="K38" s="13" t="n">
        <x:v>2300</x:v>
      </x:c>
      <x:c r="L38" s="14" t="n">
        <x:v>0.371</x:v>
      </x:c>
      <x:c r="M38" s="9" t="str">
        <x:v>ELLENŐRIZENDŐ</x:v>
      </x:c>
      <x:c r="N38" s="16" t="str"/>
      <x:c r="O38" s="9" t="str"/>
    </x:row>
    <x:row r="39" ht="32" customHeight="1">
      <x:c r="A39" s="8" t="str">
        <x:v>R13</x:v>
      </x:c>
      <x:c r="B39" s="9" t="str">
        <x:v>Terasz</x:v>
      </x:c>
      <x:c r="C39" s="10" t="n">
        <x:v>5</x:v>
      </x:c>
      <x:c r="D39" s="9" t="str">
        <x:v>Tömörített kavicságyazat</x:v>
      </x:c>
      <x:c r="E39" s="11" t="n">
        <x:v>20</x:v>
      </x:c>
      <x:c r="F39" s="9" t="str">
        <x:v>homokos, kavicsos talaj 1</x:v>
      </x:c>
      <x:c r="G39" s="9" t="str">
        <x:v>1344</x:v>
      </x:c>
      <x:c r="H39" s="9" t="str">
        <x:v>MSZ EN ISO 10456\Talajok</x:v>
      </x:c>
      <x:c r="I39" s="9" t="str">
        <x:v>MSZENISO10456.xml</x:v>
      </x:c>
      <x:c r="J39" s="12" t="n">
        <x:v>2</x:v>
      </x:c>
      <x:c r="K39" s="13" t="n">
        <x:v>1700</x:v>
      </x:c>
      <x:c r="L39" s="14" t="n">
        <x:v>0.333</x:v>
      </x:c>
      <x:c r="M39" s="9" t="str">
        <x:v>ELLENŐRIZENDŐ</x:v>
      </x:c>
      <x:c r="N39" s="16" t="str"/>
      <x:c r="O39" s="9" t="str"/>
    </x:row>
    <x:row r="40" ht="32" customHeight="1">
      <x:c r="A40" s="8" t="str">
        <x:v>R1B</x:v>
      </x:c>
      <x:c r="B40" s="9" t="str">
        <x:v>Új tetőszerkezet</x:v>
      </x:c>
      <x:c r="C40" s="10" t="n">
        <x:v>1</x:v>
      </x:c>
      <x:c r="D40" s="9" t="str">
        <x:v>Kerámia cserépfedés</x:v>
      </x:c>
      <x:c r="E40" s="11" t="n">
        <x:v>1.5</x:v>
      </x:c>
      <x:c r="F40" s="9" t="str">
        <x:v>Agyagcserép</x:v>
      </x:c>
      <x:c r="G40" s="9" t="str">
        <x:v>1360</x:v>
      </x:c>
      <x:c r="H40" s="9" t="str">
        <x:v>MSZ EN ISO 10456\Cserepek, csempék</x:v>
      </x:c>
      <x:c r="I40" s="9" t="str">
        <x:v>MSZENISO10456.xml</x:v>
      </x:c>
      <x:c r="J40" s="12" t="n">
        <x:v>1</x:v>
      </x:c>
      <x:c r="K40" s="13" t="n">
        <x:v>2000</x:v>
      </x:c>
      <x:c r="L40" s="14" t="n">
        <x:v>0.428</x:v>
      </x:c>
      <x:c r="M40" s="9" t="str">
        <x:v>ELLENŐRIZENDŐ</x:v>
      </x:c>
      <x:c r="N40" s="16" t="str"/>
      <x:c r="O40" s="9" t="str"/>
    </x:row>
    <x:row r="41" ht="32" customHeight="1">
      <x:c r="A41" s="8" t="str">
        <x:v>R1B</x:v>
      </x:c>
      <x:c r="B41" s="9" t="str">
        <x:v>Új tetőszerkezet</x:v>
      </x:c>
      <x:c r="C41" s="10" t="n">
        <x:v>2</x:v>
      </x:c>
      <x:c r="D41" s="9" t="str">
        <x:v>Tetőléc</x:v>
      </x:c>
      <x:c r="E41" s="11" t="n">
        <x:v>3</x:v>
      </x:c>
      <x:c r="F41" s="9" t="str">
        <x:v>Fa fűrészárú 2</x:v>
      </x:c>
      <x:c r="G41" s="9" t="str">
        <x:v>1366</x:v>
      </x:c>
      <x:c r="H41" s="9" t="str">
        <x:v>MSZ EN ISO 10456\Faanyagok</x:v>
      </x:c>
      <x:c r="I41" s="9" t="str">
        <x:v>MSZENISO10456.xml</x:v>
      </x:c>
      <x:c r="J41" s="12" t="n">
        <x:v>0.13</x:v>
      </x:c>
      <x:c r="K41" s="13" t="n">
        <x:v>500</x:v>
      </x:c>
      <x:c r="L41" s="14" t="n">
        <x:v>0.45</x:v>
      </x:c>
      <x:c r="M41" s="9" t="str">
        <x:v>ELLENŐRIZENDŐ</x:v>
      </x:c>
      <x:c r="N41" s="16" t="str"/>
      <x:c r="O41" s="9" t="str"/>
    </x:row>
    <x:row r="42" ht="32" customHeight="1">
      <x:c r="A42" s="8" t="str">
        <x:v>R1B</x:v>
      </x:c>
      <x:c r="B42" s="9" t="str">
        <x:v>Új tetőszerkezet</x:v>
      </x:c>
      <x:c r="C42" s="10" t="n">
        <x:v>3</x:v>
      </x:c>
      <x:c r="D42" s="9" t="str">
        <x:v>Ellenléc</x:v>
      </x:c>
      <x:c r="E42" s="11" t="n">
        <x:v>5</x:v>
      </x:c>
      <x:c r="F42" s="9" t="str">
        <x:v>Fa fűrészárú 2</x:v>
      </x:c>
      <x:c r="G42" s="9" t="str">
        <x:v>1366</x:v>
      </x:c>
      <x:c r="H42" s="9" t="str">
        <x:v>MSZ EN ISO 10456\Faanyagok</x:v>
      </x:c>
      <x:c r="I42" s="9" t="str">
        <x:v>MSZENISO10456.xml</x:v>
      </x:c>
      <x:c r="J42" s="12" t="n">
        <x:v>0.13</x:v>
      </x:c>
      <x:c r="K42" s="13" t="n">
        <x:v>500</x:v>
      </x:c>
      <x:c r="L42" s="14" t="n">
        <x:v>0.45</x:v>
      </x:c>
      <x:c r="M42" s="9" t="str">
        <x:v>ELLENŐRIZENDŐ</x:v>
      </x:c>
      <x:c r="N42" s="16" t="str"/>
      <x:c r="O42" s="9" t="str"/>
    </x:row>
    <x:row r="43" ht="32" customHeight="1">
      <x:c r="A43" s="8" t="str">
        <x:v>R1B</x:v>
      </x:c>
      <x:c r="B43" s="9" t="str">
        <x:v>Új tetőszerkezet</x:v>
      </x:c>
      <x:c r="C43" s="10" t="n">
        <x:v>4</x:v>
      </x:c>
      <x:c r="D43" s="9" t="str">
        <x:v>PIR hőszigetelés</x:v>
      </x:c>
      <x:c r="E43" s="11" t="n">
        <x:v>25</x:v>
      </x:c>
      <x:c r="F43" s="9" t="str">
        <x:v>InnoPan PIR ALU/Therm</x:v>
      </x:c>
      <x:c r="G43" s="9" t="str">
        <x:v>2014</x:v>
      </x:c>
      <x:c r="H43" s="9" t="str">
        <x:v>InnoPan</x:v>
      </x:c>
      <x:c r="I43" s="9" t="str">
        <x:v>InnoPan PIR.xml</x:v>
      </x:c>
      <x:c r="J43" s="12" t="n">
        <x:v>0.022</x:v>
      </x:c>
      <x:c r="K43" s="13" t="n">
        <x:v>32</x:v>
      </x:c>
      <x:c r="L43" s="14" t="n">
        <x:v>0.712</x:v>
      </x:c>
      <x:c r="M43" s="9" t="str">
        <x:v>ELLENŐRIZENDŐ</x:v>
      </x:c>
      <x:c r="N43" s="16" t="str"/>
      <x:c r="O43" s="9" t="str"/>
    </x:row>
    <x:row r="44" ht="32" customHeight="1">
      <x:c r="A44" s="8" t="str">
        <x:v>R1B</x:v>
      </x:c>
      <x:c r="B44" s="9" t="str">
        <x:v>Új tetőszerkezet</x:v>
      </x:c>
      <x:c r="C44" s="10" t="n">
        <x:v>5</x:v>
      </x:c>
      <x:c r="D44" s="9" t="str">
        <x:v>Deszkaburkolat</x:v>
      </x:c>
      <x:c r="E44" s="11" t="n">
        <x:v>2.5</x:v>
      </x:c>
      <x:c r="F44" s="9" t="str">
        <x:v>Fa fűrészárú 2</x:v>
      </x:c>
      <x:c r="G44" s="9" t="str">
        <x:v>1366</x:v>
      </x:c>
      <x:c r="H44" s="9" t="str">
        <x:v>MSZ EN ISO 10456\Faanyagok</x:v>
      </x:c>
      <x:c r="I44" s="9" t="str">
        <x:v>MSZENISO10456.xml</x:v>
      </x:c>
      <x:c r="J44" s="12" t="n">
        <x:v>0.13</x:v>
      </x:c>
      <x:c r="K44" s="13" t="n">
        <x:v>500</x:v>
      </x:c>
      <x:c r="L44" s="14" t="n">
        <x:v>0.45</x:v>
      </x:c>
      <x:c r="M44" s="9" t="str">
        <x:v>ELLENŐRIZENDŐ</x:v>
      </x:c>
      <x:c r="N44" s="16" t="str"/>
      <x:c r="O44" s="9" t="str"/>
    </x:row>
    <x:row r="45" ht="32" customHeight="1">
      <x:c r="A45" s="8" t="str">
        <x:v>R1B</x:v>
      </x:c>
      <x:c r="B45" s="9" t="str">
        <x:v>Új tetőszerkezet</x:v>
      </x:c>
      <x:c r="C45" s="10" t="n">
        <x:v>6</x:v>
      </x:c>
      <x:c r="D45" s="9" t="str">
        <x:v>Borovi fenyő szaruzat</x:v>
      </x:c>
      <x:c r="E45" s="11" t="n">
        <x:v>15</x:v>
      </x:c>
      <x:c r="F45" s="9" t="str">
        <x:v>Fa fűrészárú 2</x:v>
      </x:c>
      <x:c r="G45" s="9" t="str">
        <x:v>1366</x:v>
      </x:c>
      <x:c r="H45" s="9" t="str">
        <x:v>MSZ EN ISO 10456\Faanyagok</x:v>
      </x:c>
      <x:c r="I45" s="9" t="str">
        <x:v>MSZENISO10456.xml</x:v>
      </x:c>
      <x:c r="J45" s="12" t="n">
        <x:v>0.13</x:v>
      </x:c>
      <x:c r="K45" s="13" t="n">
        <x:v>500</x:v>
      </x:c>
      <x:c r="L45" s="14" t="n">
        <x:v>0.45</x:v>
      </x:c>
      <x:c r="M45" s="9" t="str">
        <x:v>ELLENŐRIZENDŐ</x:v>
      </x:c>
      <x:c r="N45" s="16" t="str"/>
      <x:c r="O45" s="9" t="str"/>
    </x:row>
    <x:row r="46" ht="32" customHeight="1">
      <x:c r="A46" s="8" t="str">
        <x:v>R14</x:v>
      </x:c>
      <x:c r="B46" s="9" t="str">
        <x:v>Talajon fekvő pincepadló</x:v>
      </x:c>
      <x:c r="C46" s="10" t="n">
        <x:v>1</x:v>
      </x:c>
      <x:c r="D46" s="9" t="str">
        <x:v>Szigetelést védő beton</x:v>
      </x:c>
      <x:c r="E46" s="11" t="n">
        <x:v>5</x:v>
      </x:c>
      <x:c r="F46" s="9" t="str">
        <x:v>Beton 3</x:v>
      </x:c>
      <x:c r="G46" s="9" t="str">
        <x:v>1252</x:v>
      </x:c>
      <x:c r="H46" s="9" t="str">
        <x:v>MSZ EN ISO 10456\Betonok</x:v>
      </x:c>
      <x:c r="I46" s="9" t="str">
        <x:v>MSZENISO10456.xml</x:v>
      </x:c>
      <x:c r="J46" s="12" t="n">
        <x:v>1.65</x:v>
      </x:c>
      <x:c r="K46" s="13" t="n">
        <x:v>2200</x:v>
      </x:c>
      <x:c r="L46" s="14" t="n">
        <x:v>0.6</x:v>
      </x:c>
      <x:c r="M46" s="9" t="str">
        <x:v>ELLENŐRIZENDŐ</x:v>
      </x:c>
      <x:c r="N46" s="16" t="str"/>
      <x:c r="O46" s="9" t="str"/>
    </x:row>
    <x:row r="47" ht="32" customHeight="1">
      <x:c r="A47" s="8" t="str">
        <x:v>R14</x:v>
      </x:c>
      <x:c r="B47" s="9" t="str">
        <x:v>Talajon fekvő pincepadló</x:v>
      </x:c>
      <x:c r="C47" s="10" t="n">
        <x:v>2</x:v>
      </x:c>
      <x:c r="D47" s="9" t="str">
        <x:v>Bitumenes vízszigetelés két réteg</x:v>
      </x:c>
      <x:c r="E47" s="11" t="n">
        <x:v>0.85</x:v>
      </x:c>
      <x:c r="F47" s="9" t="str">
        <x:v>Alu. betétes párazáró lemez</x:v>
      </x:c>
      <x:c r="G47" s="9" t="str">
        <x:v>1008</x:v>
      </x:c>
      <x:c r="H47" s="9" t="str">
        <x:v>Fóliák</x:v>
      </x:c>
      <x:c r="I47" s="9" t="str">
        <x:v>egy�b.xml</x:v>
      </x:c>
      <x:c r="J47" s="12" t="n">
        <x:v>0.17</x:v>
      </x:c>
      <x:c r="K47" s="13" t="n">
        <x:v>1100</x:v>
      </x:c>
      <x:c r="L47" s="14" t="n">
        <x:v>0.45</x:v>
      </x:c>
      <x:c r="M47" s="9" t="str">
        <x:v>ELLENŐRIZENDŐ</x:v>
      </x:c>
      <x:c r="N47" s="16" t="str"/>
      <x:c r="O47" s="9" t="str"/>
    </x:row>
    <x:row r="48" ht="32" customHeight="1">
      <x:c r="A48" s="8" t="str">
        <x:v>R14</x:v>
      </x:c>
      <x:c r="B48" s="9" t="str">
        <x:v>Talajon fekvő pincepadló</x:v>
      </x:c>
      <x:c r="C48" s="10" t="n">
        <x:v>3</x:v>
      </x:c>
      <x:c r="D48" s="9" t="str">
        <x:v>Monolit vasbeton lemezalap</x:v>
      </x:c>
      <x:c r="E48" s="11" t="n">
        <x:v>25</x:v>
      </x:c>
      <x:c r="F48" s="9" t="str">
        <x:v>Vasbeton (1 % acél)</x:v>
      </x:c>
      <x:c r="G48" s="9" t="str">
        <x:v>1254</x:v>
      </x:c>
      <x:c r="H48" s="9" t="str">
        <x:v>MSZ EN ISO 10456\Betonok</x:v>
      </x:c>
      <x:c r="I48" s="9" t="str">
        <x:v>MSZENISO10456.xml</x:v>
      </x:c>
      <x:c r="J48" s="12" t="n">
        <x:v>2.3</x:v>
      </x:c>
      <x:c r="K48" s="13" t="n">
        <x:v>2300</x:v>
      </x:c>
      <x:c r="L48" s="14" t="n">
        <x:v>0.554</x:v>
      </x:c>
      <x:c r="M48" s="9" t="str">
        <x:v>ELLENŐRIZENDŐ</x:v>
      </x:c>
      <x:c r="N48" s="16" t="str"/>
      <x:c r="O48" s="9" t="str"/>
    </x:row>
    <x:row r="49" ht="32" customHeight="1">
      <x:c r="A49" s="8" t="str">
        <x:v>R14</x:v>
      </x:c>
      <x:c r="B49" s="9" t="str">
        <x:v>Talajon fekvő pincepadló</x:v>
      </x:c>
      <x:c r="C49" s="10" t="n">
        <x:v>4</x:v>
      </x:c>
      <x:c r="D49" s="9" t="str">
        <x:v>Kavicsfeltöltés</x:v>
      </x:c>
      <x:c r="E49" s="11" t="n">
        <x:v>25</x:v>
      </x:c>
      <x:c r="F49" s="9" t="str">
        <x:v>homokos, kavicsos talaj 1</x:v>
      </x:c>
      <x:c r="G49" s="9" t="str">
        <x:v>1344</x:v>
      </x:c>
      <x:c r="H49" s="9" t="str">
        <x:v>MSZ EN ISO 10456\Talajok</x:v>
      </x:c>
      <x:c r="I49" s="9" t="str">
        <x:v>MSZENISO10456.xml</x:v>
      </x:c>
      <x:c r="J49" s="12" t="n">
        <x:v>2</x:v>
      </x:c>
      <x:c r="K49" s="13" t="n">
        <x:v>1700</x:v>
      </x:c>
      <x:c r="L49" s="14" t="n">
        <x:v>0.333</x:v>
      </x:c>
      <x:c r="M49" s="9" t="str">
        <x:v>ELLENŐRIZENDŐ</x:v>
      </x:c>
      <x:c r="N49" s="16" t="str"/>
      <x:c r="O49" s="9" t="str"/>
    </x:row>
    <x:row r="50" ht="32" customHeight="1">
      <x:c r="A50" s="8" t="str">
        <x:v>R15</x:v>
      </x:c>
      <x:c r="B50" s="9" t="str">
        <x:v>Pincefal terasz mellett</x:v>
      </x:c>
      <x:c r="C50" s="10" t="n">
        <x:v>1</x:v>
      </x:c>
      <x:c r="D50" s="9" t="str">
        <x:v>XPS hőszigetelés</x:v>
      </x:c>
      <x:c r="E50" s="11" t="n">
        <x:v>20</x:v>
      </x:c>
      <x:c r="F50" s="9" t="str">
        <x:v>Austrotherm XPS TOP 50 10-16 cm</x:v>
      </x:c>
      <x:c r="G50" s="9" t="str">
        <x:v>1257</x:v>
      </x:c>
      <x:c r="H50" s="9" t="str">
        <x:v>AUSTROTHERM 2016\ XPS és Zenit</x:v>
      </x:c>
      <x:c r="I50" s="9" t="str">
        <x:v>Austrotherm 2016.xml</x:v>
      </x:c>
      <x:c r="J50" s="12" t="n">
        <x:v>0.036</x:v>
      </x:c>
      <x:c r="K50" s="13" t="n">
        <x:v>35</x:v>
      </x:c>
      <x:c r="L50" s="14" t="n">
        <x:v>0.719</x:v>
      </x:c>
      <x:c r="M50" s="9" t="str">
        <x:v>ELLENŐRIZENDŐ</x:v>
      </x:c>
      <x:c r="N50" s="16" t="str"/>
      <x:c r="O50" s="9" t="str"/>
    </x:row>
    <x:row r="51" ht="32" customHeight="1">
      <x:c r="A51" s="8" t="str">
        <x:v>R15</x:v>
      </x:c>
      <x:c r="B51" s="9" t="str">
        <x:v>Pincefal terasz mellett</x:v>
      </x:c>
      <x:c r="C51" s="10" t="n">
        <x:v>2</x:v>
      </x:c>
      <x:c r="D51" s="9" t="str">
        <x:v>Bitumenes vízszigetelés két réteg</x:v>
      </x:c>
      <x:c r="E51" s="11" t="n">
        <x:v>0.8</x:v>
      </x:c>
      <x:c r="F51" s="9" t="str">
        <x:v>Alu. betétes párazáró lemez</x:v>
      </x:c>
      <x:c r="G51" s="9" t="str">
        <x:v>1008</x:v>
      </x:c>
      <x:c r="H51" s="9" t="str">
        <x:v>Fóliák</x:v>
      </x:c>
      <x:c r="I51" s="9" t="str">
        <x:v>egy�b.xml</x:v>
      </x:c>
      <x:c r="J51" s="12" t="n">
        <x:v>0.17</x:v>
      </x:c>
      <x:c r="K51" s="13" t="n">
        <x:v>1100</x:v>
      </x:c>
      <x:c r="L51" s="14" t="n">
        <x:v>0.45</x:v>
      </x:c>
      <x:c r="M51" s="9" t="str">
        <x:v>ELLENŐRIZENDŐ</x:v>
      </x:c>
      <x:c r="N51" s="16" t="str"/>
      <x:c r="O51" s="9" t="str"/>
    </x:row>
    <x:row r="52" ht="32" customHeight="1">
      <x:c r="A52" s="8" t="str">
        <x:v>R15</x:v>
      </x:c>
      <x:c r="B52" s="9" t="str">
        <x:v>Pincefal terasz mellett</x:v>
      </x:c>
      <x:c r="C52" s="10" t="n">
        <x:v>3</x:v>
      </x:c>
      <x:c r="D52" s="9" t="str">
        <x:v>Légzáró vakolat</x:v>
      </x:c>
      <x:c r="E52" s="11" t="n">
        <x:v>1.5</x:v>
      </x:c>
      <x:c r="F52" s="9" t="str">
        <x:v>Baumit Sanova Vakolat N (Nehéz)</x:v>
      </x:c>
      <x:c r="G52" s="9" t="str">
        <x:v>118</x:v>
      </x:c>
      <x:c r="H52" s="9" t="str">
        <x:v>BAUMIT\Felújító vakolatok</x:v>
      </x:c>
      <x:c r="I52" s="9" t="str">
        <x:v>baumit.xml</x:v>
      </x:c>
      <x:c r="J52" s="12" t="n">
        <x:v>0.8</x:v>
      </x:c>
      <x:c r="K52" s="13" t="n">
        <x:v>1630</x:v>
      </x:c>
      <x:c r="L52" s="14" t="n">
        <x:v>0.7</x:v>
      </x:c>
      <x:c r="M52" s="9" t="str">
        <x:v>ELLENŐRIZENDŐ</x:v>
      </x:c>
      <x:c r="N52" s="16" t="str"/>
      <x:c r="O52" s="9" t="str"/>
    </x:row>
    <x:row r="53" ht="32" customHeight="1">
      <x:c r="A53" s="8" t="str">
        <x:v>R15</x:v>
      </x:c>
      <x:c r="B53" s="9" t="str">
        <x:v>Pincefal terasz mellett</x:v>
      </x:c>
      <x:c r="C53" s="10" t="n">
        <x:v>4</x:v>
      </x:c>
      <x:c r="D53" s="9" t="str">
        <x:v>Zsalukő falazat</x:v>
      </x:c>
      <x:c r="E53" s="11" t="n">
        <x:v>30</x:v>
      </x:c>
      <x:c r="F53" s="9" t="str">
        <x:v>PTH 45/17 bélést. 2 x ger. 7 cm</x:v>
      </x:c>
      <x:c r="G53" s="9" t="str">
        <x:v>1508</x:v>
      </x:c>
      <x:c r="H53" s="9" t="str">
        <x:v>POROTHERM termékek 2021\POROTHERM födémek</x:v>
      </x:c>
      <x:c r="I53" s="9" t="str">
        <x:v>POROTHERM term�kek 2021.xml</x:v>
      </x:c>
      <x:c r="J53" s="12"/>
      <x:c r="K53" s="13" t="n">
        <x:v>1710</x:v>
      </x:c>
      <x:c r="L53" s="14" t="n">
        <x:v>0.403</x:v>
      </x:c>
      <x:c r="M53" s="9" t="str">
        <x:v>ELLENŐRIZENDŐ</x:v>
      </x:c>
      <x:c r="N53" s="16" t="str"/>
      <x:c r="O53" s="9" t="str"/>
    </x:row>
    <x:row r="54" ht="32" customHeight="1">
      <x:c r="A54" s="8" t="str">
        <x:v>R15</x:v>
      </x:c>
      <x:c r="B54" s="9" t="str">
        <x:v>Pincefal terasz mellett</x:v>
      </x:c>
      <x:c r="C54" s="10" t="n">
        <x:v>5</x:v>
      </x:c>
      <x:c r="D54" s="9" t="str">
        <x:v>Belső vakolat</x:v>
      </x:c>
      <x:c r="E54" s="11" t="n">
        <x:v>1.5</x:v>
      </x:c>
      <x:c r="F54" s="9" t="str">
        <x:v>YTONG Hvb 8 belső vakolat</x:v>
      </x:c>
      <x:c r="G54" s="9" t="str">
        <x:v>785</x:v>
      </x:c>
      <x:c r="H54" s="9" t="str">
        <x:v>Vakolatok</x:v>
      </x:c>
      <x:c r="I54" s="9" t="str">
        <x:v>ytong.xml</x:v>
      </x:c>
      <x:c r="J54" s="12" t="n">
        <x:v>0.75</x:v>
      </x:c>
      <x:c r="K54" s="13" t="n">
        <x:v>1430</x:v>
      </x:c>
      <x:c r="L54" s="14" t="n">
        <x:v>0.949</x:v>
      </x:c>
      <x:c r="M54" s="9" t="str">
        <x:v>ELLENŐRIZENDŐ</x:v>
      </x:c>
      <x:c r="N54" s="16" t="str"/>
      <x:c r="O54" s="9" t="str"/>
    </x:row>
    <x:row r="55" ht="32" customHeight="1">
      <x:c r="A55" s="8" t="str">
        <x:v>R16</x:v>
      </x:c>
      <x:c r="B55" s="9" t="str">
        <x:v>Pincefal meglévő épület mellett</x:v>
      </x:c>
      <x:c r="C55" s="10" t="n">
        <x:v>1</x:v>
      </x:c>
      <x:c r="D55" s="9" t="str">
        <x:v>Bitumenes vízszigetelés két réteg</x:v>
      </x:c>
      <x:c r="E55" s="11" t="n">
        <x:v>0.8</x:v>
      </x:c>
      <x:c r="F55" s="9" t="str">
        <x:v>Alu. betétes párazáró lemez</x:v>
      </x:c>
      <x:c r="G55" s="9" t="str">
        <x:v>1008</x:v>
      </x:c>
      <x:c r="H55" s="9" t="str">
        <x:v>Fóliák</x:v>
      </x:c>
      <x:c r="I55" s="9" t="str">
        <x:v>egy�b.xml</x:v>
      </x:c>
      <x:c r="J55" s="12" t="n">
        <x:v>0.17</x:v>
      </x:c>
      <x:c r="K55" s="13" t="n">
        <x:v>1100</x:v>
      </x:c>
      <x:c r="L55" s="14" t="n">
        <x:v>0.45</x:v>
      </x:c>
      <x:c r="M55" s="9" t="str">
        <x:v>ELLENŐRIZENDŐ</x:v>
      </x:c>
      <x:c r="N55" s="16" t="str"/>
      <x:c r="O55" s="9" t="str"/>
    </x:row>
    <x:row r="56" ht="32" customHeight="1">
      <x:c r="A56" s="8" t="str">
        <x:v>R16</x:v>
      </x:c>
      <x:c r="B56" s="9" t="str">
        <x:v>Pincefal meglévő épület mellett</x:v>
      </x:c>
      <x:c r="C56" s="10" t="n">
        <x:v>2</x:v>
      </x:c>
      <x:c r="D56" s="9" t="str">
        <x:v>Zsalukő falazat</x:v>
      </x:c>
      <x:c r="E56" s="11" t="n">
        <x:v>25</x:v>
      </x:c>
      <x:c r="F56" s="9" t="str">
        <x:v>PTH 45/17 bélést. 2 x ger. 7 cm</x:v>
      </x:c>
      <x:c r="G56" s="9" t="str">
        <x:v>1508</x:v>
      </x:c>
      <x:c r="H56" s="9" t="str">
        <x:v>POROTHERM termékek 2021\POROTHERM födémek</x:v>
      </x:c>
      <x:c r="I56" s="9" t="str">
        <x:v>POROTHERM term�kek 2021.xml</x:v>
      </x:c>
      <x:c r="J56" s="12"/>
      <x:c r="K56" s="13" t="n">
        <x:v>1710</x:v>
      </x:c>
      <x:c r="L56" s="14" t="n">
        <x:v>0.403</x:v>
      </x:c>
      <x:c r="M56" s="9" t="str">
        <x:v>ELLENŐRIZENDŐ</x:v>
      </x:c>
      <x:c r="N56" s="16" t="str"/>
      <x:c r="O56" s="9" t="str"/>
    </x:row>
    <x:row r="57" ht="32" customHeight="1">
      <x:c r="A57" s="8" t="str">
        <x:v>R16</x:v>
      </x:c>
      <x:c r="B57" s="9" t="str">
        <x:v>Pincefal meglévő épület mellett</x:v>
      </x:c>
      <x:c r="C57" s="10" t="n">
        <x:v>3</x:v>
      </x:c>
      <x:c r="D57" s="9" t="str">
        <x:v>Belső vakolat</x:v>
      </x:c>
      <x:c r="E57" s="11" t="n">
        <x:v>1.5</x:v>
      </x:c>
      <x:c r="F57" s="9" t="str">
        <x:v>YTONG Hvb 8 belső vakolat</x:v>
      </x:c>
      <x:c r="G57" s="9" t="str">
        <x:v>785</x:v>
      </x:c>
      <x:c r="H57" s="9" t="str">
        <x:v>Vakolatok</x:v>
      </x:c>
      <x:c r="I57" s="9" t="str">
        <x:v>ytong.xml</x:v>
      </x:c>
      <x:c r="J57" s="12" t="n">
        <x:v>0.75</x:v>
      </x:c>
      <x:c r="K57" s="13" t="n">
        <x:v>1430</x:v>
      </x:c>
      <x:c r="L57" s="14" t="n">
        <x:v>0.949</x:v>
      </x:c>
      <x:c r="M57" s="9" t="str">
        <x:v>ELLENŐRIZENDŐ</x:v>
      </x:c>
      <x:c r="N57" s="16" t="str"/>
      <x:c r="O57" s="9" t="str"/>
    </x:row>
  </x:sheetData>
  <x:mergeCells>
    <x:mergeCell ref="A2:O2"/>
    <x:mergeCell ref="A3:O3"/>
  </x:mergeCells>
  <x:conditionalFormatting sqref="N8:N57">
    <x:cfRule type="containsText" dxfId="0" priority="1" operator="containsText" text="OK"/>
    <x:cfRule type="containsText" dxfId="1" priority="2" operator="containsText" text="KIHAGYHATÓ"/>
  </x:conditionalFormatting>
  <x:conditionalFormatting sqref="M8:M57">
    <x:cfRule type="containsText" dxfId="2" priority="3" operator="containsText" text="KATALÓGUS-EGYEZÉS"/>
    <x:cfRule type="containsText" dxfId="3" priority="4" operator="containsText" text="ELLENŐRIZENDŐ"/>
  </x:conditionalFormatting>
  <x:dataValidations count="1">
    <x:dataValidation type="list" sqref="N8:N57">
      <x:formula1>"OK,KIHAGYHATÓ"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789df03b3c7483a"/>
  </x:tableParts>
</x:worksheet>
</file>