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M:\Repositories\autowinwatt\outputs\winwatt_input_template\"/>
    </mc:Choice>
  </mc:AlternateContent>
  <xr:revisionPtr revIDLastSave="0" documentId="13_ncr:1_{FDC39954-BDD2-4780-8946-EA7839D819CA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Összesítő" sheetId="1" r:id="rId1"/>
    <sheet name="Projekt" sheetId="2" r:id="rId2"/>
    <sheet name="Szerkezetek" sheetId="3" r:id="rId3"/>
    <sheet name="Rétegek" sheetId="4" r:id="rId4"/>
    <sheet name="Helyiségek" sheetId="5" r:id="rId5"/>
    <sheet name="Határolók" sheetId="6" r:id="rId6"/>
    <sheet name="Nyílászárók" sheetId="7" r:id="rId7"/>
    <sheet name="Gépészet" sheetId="8" r:id="rId8"/>
    <sheet name="Képek" sheetId="9" r:id="rId9"/>
    <sheet name="Ellenőrzés" sheetId="10" r:id="rId10"/>
    <sheet name="Listák" sheetId="11" r:id="rId11"/>
  </sheets>
  <calcPr calcId="181029"/>
</workbook>
</file>

<file path=xl/calcChain.xml><?xml version="1.0" encoding="utf-8"?>
<calcChain xmlns="http://schemas.openxmlformats.org/spreadsheetml/2006/main">
  <c r="B16" i="10" l="1"/>
  <c r="B15" i="10"/>
  <c r="B14" i="10"/>
  <c r="B13" i="10"/>
  <c r="B12" i="10"/>
  <c r="B11" i="10"/>
  <c r="B10" i="10"/>
  <c r="B9" i="10"/>
  <c r="B8" i="10"/>
  <c r="B7" i="10"/>
  <c r="B6" i="10"/>
  <c r="I205" i="7"/>
  <c r="I204" i="7"/>
  <c r="I203" i="7"/>
  <c r="I202" i="7"/>
  <c r="I201" i="7"/>
  <c r="I200" i="7"/>
  <c r="I199" i="7"/>
  <c r="I198" i="7"/>
  <c r="I197" i="7"/>
  <c r="I196" i="7"/>
  <c r="I195" i="7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M205" i="6"/>
  <c r="L205" i="6"/>
  <c r="K205" i="6"/>
  <c r="M204" i="6"/>
  <c r="L204" i="6"/>
  <c r="K204" i="6"/>
  <c r="M203" i="6"/>
  <c r="L203" i="6"/>
  <c r="K203" i="6"/>
  <c r="M202" i="6"/>
  <c r="L202" i="6"/>
  <c r="K202" i="6"/>
  <c r="M201" i="6"/>
  <c r="L201" i="6"/>
  <c r="K201" i="6"/>
  <c r="M200" i="6"/>
  <c r="L200" i="6"/>
  <c r="K200" i="6"/>
  <c r="M199" i="6"/>
  <c r="L199" i="6"/>
  <c r="K199" i="6"/>
  <c r="M198" i="6"/>
  <c r="L198" i="6"/>
  <c r="K198" i="6"/>
  <c r="M197" i="6"/>
  <c r="L197" i="6"/>
  <c r="K197" i="6"/>
  <c r="M196" i="6"/>
  <c r="L196" i="6"/>
  <c r="K196" i="6"/>
  <c r="M195" i="6"/>
  <c r="L195" i="6"/>
  <c r="K195" i="6"/>
  <c r="M194" i="6"/>
  <c r="L194" i="6"/>
  <c r="K194" i="6"/>
  <c r="M193" i="6"/>
  <c r="L193" i="6"/>
  <c r="K193" i="6"/>
  <c r="M192" i="6"/>
  <c r="L192" i="6"/>
  <c r="K192" i="6"/>
  <c r="M191" i="6"/>
  <c r="L191" i="6"/>
  <c r="K191" i="6"/>
  <c r="M190" i="6"/>
  <c r="L190" i="6"/>
  <c r="K190" i="6"/>
  <c r="M189" i="6"/>
  <c r="L189" i="6"/>
  <c r="K189" i="6"/>
  <c r="M188" i="6"/>
  <c r="L188" i="6"/>
  <c r="K188" i="6"/>
  <c r="M187" i="6"/>
  <c r="L187" i="6"/>
  <c r="K187" i="6"/>
  <c r="M186" i="6"/>
  <c r="L186" i="6"/>
  <c r="K186" i="6"/>
  <c r="M185" i="6"/>
  <c r="L185" i="6"/>
  <c r="K185" i="6"/>
  <c r="M184" i="6"/>
  <c r="L184" i="6"/>
  <c r="K184" i="6"/>
  <c r="M183" i="6"/>
  <c r="L183" i="6"/>
  <c r="K183" i="6"/>
  <c r="M182" i="6"/>
  <c r="L182" i="6"/>
  <c r="K182" i="6"/>
  <c r="M181" i="6"/>
  <c r="L181" i="6"/>
  <c r="K181" i="6"/>
  <c r="M180" i="6"/>
  <c r="L180" i="6"/>
  <c r="K180" i="6"/>
  <c r="M179" i="6"/>
  <c r="L179" i="6"/>
  <c r="K179" i="6"/>
  <c r="M178" i="6"/>
  <c r="L178" i="6"/>
  <c r="K178" i="6"/>
  <c r="M177" i="6"/>
  <c r="L177" i="6"/>
  <c r="K177" i="6"/>
  <c r="M176" i="6"/>
  <c r="L176" i="6"/>
  <c r="K176" i="6"/>
  <c r="M175" i="6"/>
  <c r="L175" i="6"/>
  <c r="K175" i="6"/>
  <c r="M174" i="6"/>
  <c r="L174" i="6"/>
  <c r="K174" i="6"/>
  <c r="M173" i="6"/>
  <c r="L173" i="6"/>
  <c r="K173" i="6"/>
  <c r="M172" i="6"/>
  <c r="L172" i="6"/>
  <c r="K172" i="6"/>
  <c r="M171" i="6"/>
  <c r="L171" i="6"/>
  <c r="K171" i="6"/>
  <c r="M170" i="6"/>
  <c r="L170" i="6"/>
  <c r="K170" i="6"/>
  <c r="M169" i="6"/>
  <c r="L169" i="6"/>
  <c r="K169" i="6"/>
  <c r="M168" i="6"/>
  <c r="L168" i="6"/>
  <c r="K168" i="6"/>
  <c r="M167" i="6"/>
  <c r="L167" i="6"/>
  <c r="K167" i="6"/>
  <c r="M166" i="6"/>
  <c r="L166" i="6"/>
  <c r="K166" i="6"/>
  <c r="M165" i="6"/>
  <c r="L165" i="6"/>
  <c r="K165" i="6"/>
  <c r="M164" i="6"/>
  <c r="L164" i="6"/>
  <c r="K164" i="6"/>
  <c r="M163" i="6"/>
  <c r="L163" i="6"/>
  <c r="K163" i="6"/>
  <c r="M162" i="6"/>
  <c r="L162" i="6"/>
  <c r="K162" i="6"/>
  <c r="M161" i="6"/>
  <c r="L161" i="6"/>
  <c r="K161" i="6"/>
  <c r="M160" i="6"/>
  <c r="L160" i="6"/>
  <c r="K160" i="6"/>
  <c r="M159" i="6"/>
  <c r="L159" i="6"/>
  <c r="K159" i="6"/>
  <c r="M158" i="6"/>
  <c r="L158" i="6"/>
  <c r="K158" i="6"/>
  <c r="M157" i="6"/>
  <c r="L157" i="6"/>
  <c r="K157" i="6"/>
  <c r="M156" i="6"/>
  <c r="L156" i="6"/>
  <c r="K156" i="6"/>
  <c r="M155" i="6"/>
  <c r="L155" i="6"/>
  <c r="K155" i="6"/>
  <c r="M154" i="6"/>
  <c r="L154" i="6"/>
  <c r="K154" i="6"/>
  <c r="M153" i="6"/>
  <c r="L153" i="6"/>
  <c r="K153" i="6"/>
  <c r="M152" i="6"/>
  <c r="L152" i="6"/>
  <c r="K152" i="6"/>
  <c r="M151" i="6"/>
  <c r="L151" i="6"/>
  <c r="K151" i="6"/>
  <c r="M150" i="6"/>
  <c r="L150" i="6"/>
  <c r="K150" i="6"/>
  <c r="M149" i="6"/>
  <c r="L149" i="6"/>
  <c r="K149" i="6"/>
  <c r="M148" i="6"/>
  <c r="L148" i="6"/>
  <c r="K148" i="6"/>
  <c r="M147" i="6"/>
  <c r="L147" i="6"/>
  <c r="K147" i="6"/>
  <c r="M146" i="6"/>
  <c r="L146" i="6"/>
  <c r="K146" i="6"/>
  <c r="M145" i="6"/>
  <c r="L145" i="6"/>
  <c r="K145" i="6"/>
  <c r="M144" i="6"/>
  <c r="L144" i="6"/>
  <c r="K144" i="6"/>
  <c r="M143" i="6"/>
  <c r="L143" i="6"/>
  <c r="K143" i="6"/>
  <c r="M142" i="6"/>
  <c r="L142" i="6"/>
  <c r="K142" i="6"/>
  <c r="M141" i="6"/>
  <c r="L141" i="6"/>
  <c r="K141" i="6"/>
  <c r="M140" i="6"/>
  <c r="L140" i="6"/>
  <c r="K140" i="6"/>
  <c r="M139" i="6"/>
  <c r="L139" i="6"/>
  <c r="K139" i="6"/>
  <c r="M138" i="6"/>
  <c r="L138" i="6"/>
  <c r="K138" i="6"/>
  <c r="M137" i="6"/>
  <c r="L137" i="6"/>
  <c r="K137" i="6"/>
  <c r="M136" i="6"/>
  <c r="L136" i="6"/>
  <c r="K136" i="6"/>
  <c r="M135" i="6"/>
  <c r="L135" i="6"/>
  <c r="K135" i="6"/>
  <c r="M134" i="6"/>
  <c r="L134" i="6"/>
  <c r="K134" i="6"/>
  <c r="M133" i="6"/>
  <c r="L133" i="6"/>
  <c r="K133" i="6"/>
  <c r="M132" i="6"/>
  <c r="L132" i="6"/>
  <c r="K132" i="6"/>
  <c r="M131" i="6"/>
  <c r="L131" i="6"/>
  <c r="K131" i="6"/>
  <c r="M130" i="6"/>
  <c r="L130" i="6"/>
  <c r="K130" i="6"/>
  <c r="M129" i="6"/>
  <c r="L129" i="6"/>
  <c r="K129" i="6"/>
  <c r="M128" i="6"/>
  <c r="L128" i="6"/>
  <c r="K128" i="6"/>
  <c r="M127" i="6"/>
  <c r="L127" i="6"/>
  <c r="K127" i="6"/>
  <c r="M126" i="6"/>
  <c r="L126" i="6"/>
  <c r="K126" i="6"/>
  <c r="M125" i="6"/>
  <c r="L125" i="6"/>
  <c r="K125" i="6"/>
  <c r="M124" i="6"/>
  <c r="L124" i="6"/>
  <c r="K124" i="6"/>
  <c r="M123" i="6"/>
  <c r="L123" i="6"/>
  <c r="K123" i="6"/>
  <c r="M122" i="6"/>
  <c r="L122" i="6"/>
  <c r="K122" i="6"/>
  <c r="M121" i="6"/>
  <c r="L121" i="6"/>
  <c r="K121" i="6"/>
  <c r="M120" i="6"/>
  <c r="L120" i="6"/>
  <c r="K120" i="6"/>
  <c r="M119" i="6"/>
  <c r="L119" i="6"/>
  <c r="K119" i="6"/>
  <c r="M118" i="6"/>
  <c r="L118" i="6"/>
  <c r="K118" i="6"/>
  <c r="M117" i="6"/>
  <c r="L117" i="6"/>
  <c r="K117" i="6"/>
  <c r="M116" i="6"/>
  <c r="L116" i="6"/>
  <c r="K116" i="6"/>
  <c r="M115" i="6"/>
  <c r="L115" i="6"/>
  <c r="K115" i="6"/>
  <c r="M114" i="6"/>
  <c r="L114" i="6"/>
  <c r="K114" i="6"/>
  <c r="M113" i="6"/>
  <c r="L113" i="6"/>
  <c r="K113" i="6"/>
  <c r="M112" i="6"/>
  <c r="L112" i="6"/>
  <c r="K112" i="6"/>
  <c r="M111" i="6"/>
  <c r="L111" i="6"/>
  <c r="K111" i="6"/>
  <c r="M110" i="6"/>
  <c r="L110" i="6"/>
  <c r="K110" i="6"/>
  <c r="M109" i="6"/>
  <c r="L109" i="6"/>
  <c r="K109" i="6"/>
  <c r="M108" i="6"/>
  <c r="L108" i="6"/>
  <c r="K108" i="6"/>
  <c r="M107" i="6"/>
  <c r="L107" i="6"/>
  <c r="K107" i="6"/>
  <c r="M106" i="6"/>
  <c r="L106" i="6"/>
  <c r="K106" i="6"/>
  <c r="M105" i="6"/>
  <c r="L105" i="6"/>
  <c r="K105" i="6"/>
  <c r="M104" i="6"/>
  <c r="L104" i="6"/>
  <c r="K104" i="6"/>
  <c r="M103" i="6"/>
  <c r="L103" i="6"/>
  <c r="K103" i="6"/>
  <c r="M102" i="6"/>
  <c r="L102" i="6"/>
  <c r="K102" i="6"/>
  <c r="M101" i="6"/>
  <c r="L101" i="6"/>
  <c r="K101" i="6"/>
  <c r="M100" i="6"/>
  <c r="L100" i="6"/>
  <c r="K100" i="6"/>
  <c r="M99" i="6"/>
  <c r="L99" i="6"/>
  <c r="K99" i="6"/>
  <c r="M98" i="6"/>
  <c r="L98" i="6"/>
  <c r="K98" i="6"/>
  <c r="M97" i="6"/>
  <c r="L97" i="6"/>
  <c r="K97" i="6"/>
  <c r="M96" i="6"/>
  <c r="L96" i="6"/>
  <c r="K96" i="6"/>
  <c r="M95" i="6"/>
  <c r="L95" i="6"/>
  <c r="K95" i="6"/>
  <c r="M94" i="6"/>
  <c r="L94" i="6"/>
  <c r="K94" i="6"/>
  <c r="M93" i="6"/>
  <c r="L93" i="6"/>
  <c r="K93" i="6"/>
  <c r="M92" i="6"/>
  <c r="L92" i="6"/>
  <c r="K92" i="6"/>
  <c r="M91" i="6"/>
  <c r="L91" i="6"/>
  <c r="K91" i="6"/>
  <c r="M90" i="6"/>
  <c r="L90" i="6"/>
  <c r="K90" i="6"/>
  <c r="M89" i="6"/>
  <c r="L89" i="6"/>
  <c r="K89" i="6"/>
  <c r="M88" i="6"/>
  <c r="L88" i="6"/>
  <c r="K88" i="6"/>
  <c r="M87" i="6"/>
  <c r="L87" i="6"/>
  <c r="K87" i="6"/>
  <c r="M86" i="6"/>
  <c r="L86" i="6"/>
  <c r="K86" i="6"/>
  <c r="M85" i="6"/>
  <c r="L85" i="6"/>
  <c r="K85" i="6"/>
  <c r="M84" i="6"/>
  <c r="L84" i="6"/>
  <c r="K84" i="6"/>
  <c r="M83" i="6"/>
  <c r="L83" i="6"/>
  <c r="K83" i="6"/>
  <c r="M82" i="6"/>
  <c r="L82" i="6"/>
  <c r="K82" i="6"/>
  <c r="M81" i="6"/>
  <c r="L81" i="6"/>
  <c r="K81" i="6"/>
  <c r="M80" i="6"/>
  <c r="L80" i="6"/>
  <c r="K80" i="6"/>
  <c r="M79" i="6"/>
  <c r="L79" i="6"/>
  <c r="K79" i="6"/>
  <c r="M78" i="6"/>
  <c r="L78" i="6"/>
  <c r="K78" i="6"/>
  <c r="M77" i="6"/>
  <c r="L77" i="6"/>
  <c r="K77" i="6"/>
  <c r="M76" i="6"/>
  <c r="L76" i="6"/>
  <c r="K76" i="6"/>
  <c r="M75" i="6"/>
  <c r="L75" i="6"/>
  <c r="K75" i="6"/>
  <c r="M74" i="6"/>
  <c r="L74" i="6"/>
  <c r="K74" i="6"/>
  <c r="M73" i="6"/>
  <c r="L73" i="6"/>
  <c r="K73" i="6"/>
  <c r="M72" i="6"/>
  <c r="L72" i="6"/>
  <c r="K72" i="6"/>
  <c r="M71" i="6"/>
  <c r="L71" i="6"/>
  <c r="K71" i="6"/>
  <c r="M70" i="6"/>
  <c r="L70" i="6"/>
  <c r="K70" i="6"/>
  <c r="M69" i="6"/>
  <c r="L69" i="6"/>
  <c r="K69" i="6"/>
  <c r="M68" i="6"/>
  <c r="L68" i="6"/>
  <c r="K68" i="6"/>
  <c r="M67" i="6"/>
  <c r="L67" i="6"/>
  <c r="K67" i="6"/>
  <c r="M66" i="6"/>
  <c r="L66" i="6"/>
  <c r="K66" i="6"/>
  <c r="M65" i="6"/>
  <c r="L65" i="6"/>
  <c r="K65" i="6"/>
  <c r="M64" i="6"/>
  <c r="L64" i="6"/>
  <c r="K64" i="6"/>
  <c r="M63" i="6"/>
  <c r="L63" i="6"/>
  <c r="K63" i="6"/>
  <c r="M62" i="6"/>
  <c r="L62" i="6"/>
  <c r="K62" i="6"/>
  <c r="M61" i="6"/>
  <c r="L61" i="6"/>
  <c r="K61" i="6"/>
  <c r="M60" i="6"/>
  <c r="L60" i="6"/>
  <c r="K60" i="6"/>
  <c r="M59" i="6"/>
  <c r="L59" i="6"/>
  <c r="K59" i="6"/>
  <c r="M58" i="6"/>
  <c r="L58" i="6"/>
  <c r="K58" i="6"/>
  <c r="M57" i="6"/>
  <c r="L57" i="6"/>
  <c r="K57" i="6"/>
  <c r="M56" i="6"/>
  <c r="L56" i="6"/>
  <c r="K56" i="6"/>
  <c r="M55" i="6"/>
  <c r="L55" i="6"/>
  <c r="K55" i="6"/>
  <c r="M54" i="6"/>
  <c r="L54" i="6"/>
  <c r="K54" i="6"/>
  <c r="M53" i="6"/>
  <c r="L53" i="6"/>
  <c r="K53" i="6"/>
  <c r="M52" i="6"/>
  <c r="L52" i="6"/>
  <c r="K52" i="6"/>
  <c r="M51" i="6"/>
  <c r="L51" i="6"/>
  <c r="K51" i="6"/>
  <c r="M50" i="6"/>
  <c r="L50" i="6"/>
  <c r="K50" i="6"/>
  <c r="M49" i="6"/>
  <c r="L49" i="6"/>
  <c r="K49" i="6"/>
  <c r="M48" i="6"/>
  <c r="L48" i="6"/>
  <c r="K48" i="6"/>
  <c r="M47" i="6"/>
  <c r="L47" i="6"/>
  <c r="K47" i="6"/>
  <c r="M46" i="6"/>
  <c r="L46" i="6"/>
  <c r="K46" i="6"/>
  <c r="M45" i="6"/>
  <c r="L45" i="6"/>
  <c r="K45" i="6"/>
  <c r="M44" i="6"/>
  <c r="L44" i="6"/>
  <c r="K44" i="6"/>
  <c r="M43" i="6"/>
  <c r="L43" i="6"/>
  <c r="K43" i="6"/>
  <c r="M42" i="6"/>
  <c r="L42" i="6"/>
  <c r="K42" i="6"/>
  <c r="M41" i="6"/>
  <c r="L41" i="6"/>
  <c r="K41" i="6"/>
  <c r="M40" i="6"/>
  <c r="L40" i="6"/>
  <c r="K40" i="6"/>
  <c r="M39" i="6"/>
  <c r="L39" i="6"/>
  <c r="K39" i="6"/>
  <c r="M38" i="6"/>
  <c r="L38" i="6"/>
  <c r="K38" i="6"/>
  <c r="M37" i="6"/>
  <c r="L37" i="6"/>
  <c r="K37" i="6"/>
  <c r="M36" i="6"/>
  <c r="L36" i="6"/>
  <c r="K36" i="6"/>
  <c r="M35" i="6"/>
  <c r="L35" i="6"/>
  <c r="K35" i="6"/>
  <c r="M34" i="6"/>
  <c r="L34" i="6"/>
  <c r="K34" i="6"/>
  <c r="M33" i="6"/>
  <c r="L33" i="6"/>
  <c r="K33" i="6"/>
  <c r="M32" i="6"/>
  <c r="L32" i="6"/>
  <c r="K32" i="6"/>
  <c r="M31" i="6"/>
  <c r="L31" i="6"/>
  <c r="K31" i="6"/>
  <c r="M30" i="6"/>
  <c r="L30" i="6"/>
  <c r="K30" i="6"/>
  <c r="M29" i="6"/>
  <c r="L29" i="6"/>
  <c r="K29" i="6"/>
  <c r="M28" i="6"/>
  <c r="L28" i="6"/>
  <c r="K28" i="6"/>
  <c r="M27" i="6"/>
  <c r="L27" i="6"/>
  <c r="K27" i="6"/>
  <c r="M26" i="6"/>
  <c r="L26" i="6"/>
  <c r="K26" i="6"/>
  <c r="M25" i="6"/>
  <c r="L25" i="6"/>
  <c r="K25" i="6"/>
  <c r="M24" i="6"/>
  <c r="L24" i="6"/>
  <c r="K24" i="6"/>
  <c r="M23" i="6"/>
  <c r="L23" i="6"/>
  <c r="K23" i="6"/>
  <c r="M22" i="6"/>
  <c r="L22" i="6"/>
  <c r="K22" i="6"/>
  <c r="M21" i="6"/>
  <c r="L21" i="6"/>
  <c r="K21" i="6"/>
  <c r="M20" i="6"/>
  <c r="L20" i="6"/>
  <c r="K20" i="6"/>
  <c r="M19" i="6"/>
  <c r="L19" i="6"/>
  <c r="K19" i="6"/>
  <c r="M18" i="6"/>
  <c r="L18" i="6"/>
  <c r="K18" i="6"/>
  <c r="M17" i="6"/>
  <c r="L17" i="6"/>
  <c r="K17" i="6"/>
  <c r="M16" i="6"/>
  <c r="L16" i="6"/>
  <c r="K16" i="6"/>
  <c r="M15" i="6"/>
  <c r="L15" i="6"/>
  <c r="K15" i="6"/>
  <c r="M14" i="6"/>
  <c r="L14" i="6"/>
  <c r="K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7" i="6"/>
  <c r="L7" i="6"/>
  <c r="K7" i="6"/>
  <c r="M6" i="6"/>
  <c r="L6" i="6"/>
  <c r="K6" i="6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<sst xmlns="http://schemas.openxmlformats.org/spreadsheetml/2006/main" count="254" uniqueCount="209">
  <si>
    <t>AutoWinWatt adatbeviteli sablon</t>
  </si>
  <si>
    <t>Strukturált bemenet WinWatt projekt és tanúsítási XML előállításához</t>
  </si>
  <si>
    <t>Mutató</t>
  </si>
  <si>
    <t>Érték</t>
  </si>
  <si>
    <t>Használat</t>
  </si>
  <si>
    <t>Projektek</t>
  </si>
  <si>
    <t>1. A sárga mezőket töltsd ki; a zöld mezők képletek.</t>
  </si>
  <si>
    <t>Szerkezetek</t>
  </si>
  <si>
    <t>2. Minden rekordnak legyen egyedi azonosítója.</t>
  </si>
  <si>
    <t>Rétegek</t>
  </si>
  <si>
    <t>3. A hivatkozások az azonosítókat használják, nem a neveket.</t>
  </si>
  <si>
    <t>Helyiségek</t>
  </si>
  <si>
    <t>4. A nyílászáró területét a sablon levonja a bruttó határolófelületből.</t>
  </si>
  <si>
    <t>Határolók</t>
  </si>
  <si>
    <t>5. A Képek lapon fájlútvonal vagy URL köthető bármely rekordhoz.</t>
  </si>
  <si>
    <t>Nyílászárók</t>
  </si>
  <si>
    <t>6. Átadás előtt az Ellenőrzés lapon minden hibaszám legyen nulla.</t>
  </si>
  <si>
    <t>Gépészeti rendszerek</t>
  </si>
  <si>
    <t>Projekt- és tanúsítási alapadatok</t>
  </si>
  <si>
    <t>Egy sor egy tanúsítandó épületet vagy önálló rendeltetési egységet ír le.</t>
  </si>
  <si>
    <t>Projekt ID [project_id]</t>
  </si>
  <si>
    <t>Megnevezés [name]</t>
  </si>
  <si>
    <t>Cím [address]</t>
  </si>
  <si>
    <t>HRSZ [parcel_no]</t>
  </si>
  <si>
    <t>Épület/lakás ID [unit_id]</t>
  </si>
  <si>
    <t>Rendeltetés [use_type]</t>
  </si>
  <si>
    <t>Tanúsítás oka [certification_reason]</t>
  </si>
  <si>
    <t>Építés éve [construction_year]</t>
  </si>
  <si>
    <t>Felújítás éve [renovation_year]</t>
  </si>
  <si>
    <t>Fűtött alapterület [heated_floor_area_m2]</t>
  </si>
  <si>
    <t>Fűtött térfogat [heated_volume_m3]</t>
  </si>
  <si>
    <t>Átlagos belmagasság [default_height_m]</t>
  </si>
  <si>
    <t>Szintek száma [floor_count]</t>
  </si>
  <si>
    <t>Éghajlati település [climate_location]</t>
  </si>
  <si>
    <t>Tanúsító neve [certifier_name]</t>
  </si>
  <si>
    <t>Tanúsítói azonosító [certifier_id]</t>
  </si>
  <si>
    <t>Alapértelmezett zóna ID [default_zone_id]</t>
  </si>
  <si>
    <t>Megjegyzés [note]</t>
  </si>
  <si>
    <t>Egy sor egy WinWattban használható szerkezettípus. Rétegrendes szerkezetnél a részleteket a Rétegek lap tartalmazza.</t>
  </si>
  <si>
    <t>Szerkezet ID [structure_id]</t>
  </si>
  <si>
    <t>Kategória [category]</t>
  </si>
  <si>
    <t>WinWatt típus [winwatt_type]</t>
  </si>
  <si>
    <t>Hőátbocsátási tényező [u_value_w_m2k]</t>
  </si>
  <si>
    <t>U-érték forrása [u_value_source]</t>
  </si>
  <si>
    <t>Rétegrend megadva [has_layers]</t>
  </si>
  <si>
    <t>Külső/belső oldal [layer_order]</t>
  </si>
  <si>
    <t>g-érték [g_value]</t>
  </si>
  <si>
    <t>Légáteresztés [air_permeability]</t>
  </si>
  <si>
    <t>Keretarány [frame_fraction]</t>
  </si>
  <si>
    <t>Állapot [status]</t>
  </si>
  <si>
    <t>Forrásazonosító [source_ref]</t>
  </si>
  <si>
    <t>Képreferencia [image_ref]</t>
  </si>
  <si>
    <t>Rétegrendek</t>
  </si>
  <si>
    <t>A rétegeket külső oldalról a belső oldal felé, növekvő sorszámmal add meg.</t>
  </si>
  <si>
    <t>Réteg ID [layer_id]</t>
  </si>
  <si>
    <t>Sorszám [sequence]</t>
  </si>
  <si>
    <t>Anyag megnevezése [material_name]</t>
  </si>
  <si>
    <t>WinWatt katalógus ID [catalog_material_id]</t>
  </si>
  <si>
    <t>Katalógus útvonal [catalog_path]</t>
  </si>
  <si>
    <t>Vastagság [thickness_m]</t>
  </si>
  <si>
    <t>Hővezetési tényező [lambda_w_mk]</t>
  </si>
  <si>
    <t>Sűrűség [density_kg_m3]</t>
  </si>
  <si>
    <t>Páradiffúziós tényező [mu]</t>
  </si>
  <si>
    <t>Hőellenállás [r_m2k_w]</t>
  </si>
  <si>
    <t>Helyiségek és zónák</t>
  </si>
  <si>
    <t>Minden megnevezett helyiség külön sor. A termikus zóna több helyiséget is összefoghat.</t>
  </si>
  <si>
    <t>Helyiség ID [room_id]</t>
  </si>
  <si>
    <t>Zóna ID [zone_id]</t>
  </si>
  <si>
    <t>Szint [floor]</t>
  </si>
  <si>
    <t>Helyiség neve [name]</t>
  </si>
  <si>
    <t>Alapterület [floor_area_m2]</t>
  </si>
  <si>
    <t>Belmagasság [height_m]</t>
  </si>
  <si>
    <t>Térfogat [volume_m3]</t>
  </si>
  <si>
    <t>Fűtött [heated]</t>
  </si>
  <si>
    <t>Belső hőmérséklet [design_temp_c]</t>
  </si>
  <si>
    <t>Helyiséghatárolók</t>
  </si>
  <si>
    <t>A bruttó felület a belső méretből készül. A nyílászárók összterületét a sablon automatikusan levonja.</t>
  </si>
  <si>
    <t>Határoló ID [boundary_id]</t>
  </si>
  <si>
    <t>Határoló típusa [boundary_type]</t>
  </si>
  <si>
    <t>Túloldali tér [adjacent_space_type]</t>
  </si>
  <si>
    <t>Túloldali ID [adjacent_id]</t>
  </si>
  <si>
    <t>Tájolás [orientation_deg]</t>
  </si>
  <si>
    <t>Belső hossz [inside_length_m]</t>
  </si>
  <si>
    <t>Magasság [height_m]</t>
  </si>
  <si>
    <t>Közvetlen bruttó felület [gross_area_override_m2]</t>
  </si>
  <si>
    <t>Számított bruttó felület [gross_area_m2]</t>
  </si>
  <si>
    <t>Nyílászárók területe [opening_area_m2]</t>
  </si>
  <si>
    <t>Nettó szerkezetfelület [net_area_m2]</t>
  </si>
  <si>
    <t>Hőmérséklet-korrekció [temperature_factor]</t>
  </si>
  <si>
    <t>Lejtés [inclination_deg]</t>
  </si>
  <si>
    <t>Talajkapcsolati kerület [ground_perimeter_m]</t>
  </si>
  <si>
    <t>Bizonyosság [confidence]</t>
  </si>
  <si>
    <t>Egy sor egy nyílászárótípus vagy azonos méretű csoport. A pontos falon belüli pozíció nem szükséges.</t>
  </si>
  <si>
    <t>Nyílászáró ID [opening_id]</t>
  </si>
  <si>
    <t>Típus [opening_type]</t>
  </si>
  <si>
    <t>Szélesség [width_m]</t>
  </si>
  <si>
    <t>Darabszám [quantity]</t>
  </si>
  <si>
    <t>Összterület [area_m2]</t>
  </si>
  <si>
    <t>Árnyékolás [shading]</t>
  </si>
  <si>
    <t>Egy sor egy szolgáltatás/rendszer. Több hőtermelő vagy részleges lefedettség külön sorokkal írható le.</t>
  </si>
  <si>
    <t>Rendszer ID [system_id]</t>
  </si>
  <si>
    <t>Szolgáltatás [service_type]</t>
  </si>
  <si>
    <t>Rendszer megnevezése [name]</t>
  </si>
  <si>
    <t>Energiaforrás [energy_carrier]</t>
  </si>
  <si>
    <t>Hőtermelő típusa [generator_type]</t>
  </si>
  <si>
    <t>Gyártó/típus [product]</t>
  </si>
  <si>
    <t>Névleges teljesítmény [capacity_kw]</t>
  </si>
  <si>
    <t>Hatásfok/COP/SCOP [efficiency]</t>
  </si>
  <si>
    <t>Lefedettség [coverage_fraction]</t>
  </si>
  <si>
    <t>Hőleadás [emitter_type]</t>
  </si>
  <si>
    <t>Elosztás [distribution]</t>
  </si>
  <si>
    <t>Szabályozás [control]</t>
  </si>
  <si>
    <t>Tároló térfogat [storage_l]</t>
  </si>
  <si>
    <t>Segédenergia [auxiliary_kwh_y]</t>
  </si>
  <si>
    <t>Megújuló hozam [renewable_kwh_y]</t>
  </si>
  <si>
    <t>Képek és dokumentumhivatkozások</t>
  </si>
  <si>
    <t>A fájlokat nem kell az Excelbe ágyazni; abszolút/relatív fájlútvonal vagy URL adható meg.</t>
  </si>
  <si>
    <t>Kép ID [image_id]</t>
  </si>
  <si>
    <t>Kapcsolt rekord típusa [entity_type]</t>
  </si>
  <si>
    <t>Kapcsolt rekord ID [entity_id]</t>
  </si>
  <si>
    <t>Fájlútvonal vagy URL [uri]</t>
  </si>
  <si>
    <t>Oldal [page]</t>
  </si>
  <si>
    <t>Kivágás/terület [region]</t>
  </si>
  <si>
    <t>Leírás [description]</t>
  </si>
  <si>
    <t>Forrás dátuma [source_date]</t>
  </si>
  <si>
    <t>Adatminőségi ellenőrzések</t>
  </si>
  <si>
    <t>A hibaszámoknak nulla értéket kell mutatniuk az automatikus import előtt.</t>
  </si>
  <si>
    <t>Ellenőrzés</t>
  </si>
  <si>
    <t>Hibák száma</t>
  </si>
  <si>
    <t>Elvárt érték</t>
  </si>
  <si>
    <t>Projekt ID hiányzik</t>
  </si>
  <si>
    <t>Duplikált szerkezet ID</t>
  </si>
  <si>
    <t>Réteg ismeretlen szerkezetre hivatkozik</t>
  </si>
  <si>
    <t>Helyiség ismeretlen projektre hivatkozik</t>
  </si>
  <si>
    <t>Határoló ismeretlen helyiségre hivatkozik</t>
  </si>
  <si>
    <t>Határoló ismeretlen szerkezetre hivatkozik</t>
  </si>
  <si>
    <t>Nyílászáró ismeretlen határolóra hivatkozik</t>
  </si>
  <si>
    <t>Nyílászáró ismeretlen szerkezetre hivatkozik</t>
  </si>
  <si>
    <t>Negatív nettó határolófelület</t>
  </si>
  <si>
    <t>Gépészet ismeretlen projektre hivatkozik</t>
  </si>
  <si>
    <t>Kép kapcsolt rekord ID nélkül</t>
  </si>
  <si>
    <t>Rendeltetés</t>
  </si>
  <si>
    <t>Szerkezet kategória</t>
  </si>
  <si>
    <t>Határoló típus</t>
  </si>
  <si>
    <t>Túloldali tér</t>
  </si>
  <si>
    <t>Nyílászáró típus</t>
  </si>
  <si>
    <t>Gépészeti szolgáltatás</t>
  </si>
  <si>
    <t>Igen/Nem</t>
  </si>
  <si>
    <t>Állapot</t>
  </si>
  <si>
    <t>Bizonyosság</t>
  </si>
  <si>
    <t>Rekordtípus</t>
  </si>
  <si>
    <t>lakó</t>
  </si>
  <si>
    <t>külső fal</t>
  </si>
  <si>
    <t>fal</t>
  </si>
  <si>
    <t>külső levegő</t>
  </si>
  <si>
    <t>ablak</t>
  </si>
  <si>
    <t>fűtés</t>
  </si>
  <si>
    <t>igen</t>
  </si>
  <si>
    <t>tervezett</t>
  </si>
  <si>
    <t>magas</t>
  </si>
  <si>
    <t>projekt</t>
  </si>
  <si>
    <t>iroda</t>
  </si>
  <si>
    <t>belső fal</t>
  </si>
  <si>
    <t>padló</t>
  </si>
  <si>
    <t>talaj</t>
  </si>
  <si>
    <t>erkélyajtó</t>
  </si>
  <si>
    <t>HMV</t>
  </si>
  <si>
    <t>nem</t>
  </si>
  <si>
    <t>meglévő</t>
  </si>
  <si>
    <t>közepes</t>
  </si>
  <si>
    <t>szerkezet</t>
  </si>
  <si>
    <t>oktatási</t>
  </si>
  <si>
    <t>talajon fekvő padló</t>
  </si>
  <si>
    <t>födém</t>
  </si>
  <si>
    <t>fűtetlen tér</t>
  </si>
  <si>
    <t>bejárati ajtó</t>
  </si>
  <si>
    <t>hűtés</t>
  </si>
  <si>
    <t>ellenőrzött</t>
  </si>
  <si>
    <t>alacsony</t>
  </si>
  <si>
    <t>réteg</t>
  </si>
  <si>
    <t>egészségügyi</t>
  </si>
  <si>
    <t>alsó födém</t>
  </si>
  <si>
    <t>tető</t>
  </si>
  <si>
    <t>másik lakás</t>
  </si>
  <si>
    <t>egyéb ajtó</t>
  </si>
  <si>
    <t>szellőzés</t>
  </si>
  <si>
    <t>bizonytalan</t>
  </si>
  <si>
    <t>helyiség</t>
  </si>
  <si>
    <t>kereskedelmi</t>
  </si>
  <si>
    <t>közbenső födém</t>
  </si>
  <si>
    <t>nyílászáró</t>
  </si>
  <si>
    <t>fűtött tér</t>
  </si>
  <si>
    <t>világítás</t>
  </si>
  <si>
    <t>határoló</t>
  </si>
  <si>
    <t>szállás</t>
  </si>
  <si>
    <t>zárófödém</t>
  </si>
  <si>
    <t>hőhíd</t>
  </si>
  <si>
    <t>lépcsőház</t>
  </si>
  <si>
    <t>napelem</t>
  </si>
  <si>
    <t>sport</t>
  </si>
  <si>
    <t>egyéb</t>
  </si>
  <si>
    <t>garázs</t>
  </si>
  <si>
    <t>napkollektor</t>
  </si>
  <si>
    <t>gépészet</t>
  </si>
  <si>
    <t>ipari</t>
  </si>
  <si>
    <t>ismeretlen</t>
  </si>
  <si>
    <t>raktár</t>
  </si>
  <si>
    <t>ajtó</t>
  </si>
  <si>
    <t>üvegfal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</si>
</sst>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yyyy\-mm\-dd"/>
  </numFmts>
  <fonts count="8">
    <font>
      <sz val="11"/>
      <name val="Carlito"/>
    </font>
    <font>
      <b/>
      <sz val="15"/>
      <color rgb="FF17365D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sz val="10"/>
      <color rgb="FF222222"/>
      <name val="Arial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FFFFFF"/>
      </right>
      <top/>
      <bottom style="medium">
        <color rgb="FF17365D"/>
      </bottom>
      <diagonal/>
    </border>
    <border>
      <left style="thin">
        <color rgb="FFFFFFFF"/>
      </left>
      <right style="thin">
        <color rgb="FFFFFFFF"/>
      </right>
      <top/>
      <bottom style="medium">
        <color rgb="FF17365D"/>
      </bottom>
      <diagonal/>
    </border>
    <border>
      <left style="thin">
        <color rgb="FFFFFFFF"/>
      </left>
      <right/>
      <top/>
      <bottom style="medium">
        <color rgb="FF17365D"/>
      </bottom>
      <diagonal/>
    </border>
    <border>
      <left/>
      <right/>
      <top/>
      <bottom style="hair">
        <color rgb="FFD9E2F3"/>
      </bottom>
      <diagonal/>
    </border>
    <border>
      <left/>
      <right/>
      <top style="hair">
        <color rgb="FFD9E2F3"/>
      </top>
      <bottom style="hair">
        <color rgb="FFD9E2F3"/>
      </bottom>
      <diagonal/>
    </border>
    <border>
      <left/>
      <right/>
      <top style="hair">
        <color rgb="FFD9E2F3"/>
      </top>
      <bottom/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1" xfId="1" applyFont="1" applyBorder="1"/>
    <xf numFmtId="0" fontId="1" fillId="0" borderId="1" xfId="1" applyFont="1" applyBorder="1"/>
    <xf numFmtId="0" fontId="2" fillId="0" borderId="0" xfId="1" applyFont="1"/>
    <xf numFmtId="0" fontId="3" fillId="2" borderId="0" xfId="1" applyFont="1" applyFill="1"/>
    <xf numFmtId="0" fontId="3" fillId="2" borderId="2" xfId="1" applyFont="1" applyFill="1" applyBorder="1"/>
    <xf numFmtId="0" fontId="3" fillId="2" borderId="3" xfId="1" applyFont="1" applyFill="1" applyBorder="1"/>
    <xf numFmtId="0" fontId="0" fillId="0" borderId="4" xfId="1" applyFont="1" applyBorder="1"/>
    <xf numFmtId="1" fontId="0" fillId="0" borderId="4" xfId="1" applyNumberFormat="1" applyFont="1" applyBorder="1"/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vertical="center"/>
    </xf>
    <xf numFmtId="0" fontId="6" fillId="5" borderId="9" xfId="1" applyFont="1" applyFill="1" applyBorder="1" applyAlignment="1">
      <alignment vertical="center"/>
    </xf>
    <xf numFmtId="0" fontId="6" fillId="5" borderId="10" xfId="1" applyFont="1" applyFill="1" applyBorder="1" applyAlignment="1">
      <alignment vertical="center"/>
    </xf>
    <xf numFmtId="2" fontId="6" fillId="5" borderId="8" xfId="1" applyNumberFormat="1" applyFont="1" applyFill="1" applyBorder="1" applyAlignment="1">
      <alignment vertical="center"/>
    </xf>
    <xf numFmtId="2" fontId="6" fillId="5" borderId="9" xfId="1" applyNumberFormat="1" applyFont="1" applyFill="1" applyBorder="1" applyAlignment="1">
      <alignment vertical="center"/>
    </xf>
    <xf numFmtId="2" fontId="6" fillId="5" borderId="10" xfId="1" applyNumberFormat="1" applyFont="1" applyFill="1" applyBorder="1" applyAlignment="1">
      <alignment vertical="center"/>
    </xf>
    <xf numFmtId="164" fontId="6" fillId="5" borderId="8" xfId="1" applyNumberFormat="1" applyFont="1" applyFill="1" applyBorder="1" applyAlignment="1">
      <alignment vertical="center"/>
    </xf>
    <xf numFmtId="164" fontId="6" fillId="5" borderId="9" xfId="1" applyNumberFormat="1" applyFont="1" applyFill="1" applyBorder="1" applyAlignment="1">
      <alignment vertical="center"/>
    </xf>
    <xf numFmtId="164" fontId="6" fillId="5" borderId="10" xfId="1" applyNumberFormat="1" applyFont="1" applyFill="1" applyBorder="1" applyAlignment="1">
      <alignment vertical="center"/>
    </xf>
    <xf numFmtId="164" fontId="6" fillId="6" borderId="8" xfId="1" applyNumberFormat="1" applyFont="1" applyFill="1" applyBorder="1" applyAlignment="1">
      <alignment vertical="center"/>
    </xf>
    <xf numFmtId="2" fontId="6" fillId="6" borderId="8" xfId="1" applyNumberFormat="1" applyFont="1" applyFill="1" applyBorder="1" applyAlignment="1">
      <alignment vertical="center"/>
    </xf>
    <xf numFmtId="165" fontId="6" fillId="5" borderId="8" xfId="1" applyNumberFormat="1" applyFont="1" applyFill="1" applyBorder="1" applyAlignment="1">
      <alignment vertical="center"/>
    </xf>
    <xf numFmtId="165" fontId="6" fillId="5" borderId="9" xfId="1" applyNumberFormat="1" applyFont="1" applyFill="1" applyBorder="1" applyAlignment="1">
      <alignment vertical="center"/>
    </xf>
    <xf numFmtId="165" fontId="6" fillId="5" borderId="10" xfId="1" applyNumberFormat="1" applyFont="1" applyFill="1" applyBorder="1" applyAlignment="1">
      <alignment vertical="center"/>
    </xf>
    <xf numFmtId="166" fontId="6" fillId="5" borderId="8" xfId="1" applyNumberFormat="1" applyFont="1" applyFill="1" applyBorder="1" applyAlignment="1">
      <alignment vertical="center"/>
    </xf>
    <xf numFmtId="166" fontId="6" fillId="5" borderId="9" xfId="1" applyNumberFormat="1" applyFont="1" applyFill="1" applyBorder="1" applyAlignment="1">
      <alignment vertical="center"/>
    </xf>
    <xf numFmtId="166" fontId="6" fillId="5" borderId="10" xfId="1" applyNumberFormat="1" applyFont="1" applyFill="1" applyBorder="1" applyAlignment="1">
      <alignment vertical="center"/>
    </xf>
    <xf numFmtId="0" fontId="5" fillId="2" borderId="0" xfId="1" applyFont="1" applyFill="1" applyAlignment="1">
      <alignment wrapText="1"/>
    </xf>
    <xf numFmtId="0" fontId="4" fillId="0" borderId="0" xfId="1" applyFont="1"/>
    <xf numFmtId="0" fontId="0" fillId="0" borderId="0" xfId="1" applyFont="1" applyAlignment="1">
      <alignment vertical="center"/>
    </xf>
    <xf numFmtId="0" fontId="3" fillId="3" borderId="0" xfId="1" applyFont="1" applyFill="1"/>
    <xf numFmtId="0" fontId="4" fillId="4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ál" xfId="0" builtin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Table" displayName="ProjectTable" ref="A5:R205" totalsRowShown="0">
  <tableColumns count="18">
    <tableColumn id="1" xr3:uid="{00000000-0010-0000-0000-000001000000}" name="Projekt ID [project_id]"/>
    <tableColumn id="2" xr3:uid="{00000000-0010-0000-0000-000002000000}" name="Megnevezés [name]"/>
    <tableColumn id="3" xr3:uid="{00000000-0010-0000-0000-000003000000}" name="Cím [address]"/>
    <tableColumn id="4" xr3:uid="{00000000-0010-0000-0000-000004000000}" name="HRSZ [parcel_no]"/>
    <tableColumn id="5" xr3:uid="{00000000-0010-0000-0000-000005000000}" name="Épület/lakás ID [unit_id]"/>
    <tableColumn id="6" xr3:uid="{00000000-0010-0000-0000-000006000000}" name="Rendeltetés [use_type]"/>
    <tableColumn id="7" xr3:uid="{00000000-0010-0000-0000-000007000000}" name="Tanúsítás oka [certification_reason]"/>
    <tableColumn id="8" xr3:uid="{00000000-0010-0000-0000-000008000000}" name="Építés éve [construction_year]"/>
    <tableColumn id="9" xr3:uid="{00000000-0010-0000-0000-000009000000}" name="Felújítás éve [renovation_year]"/>
    <tableColumn id="10" xr3:uid="{00000000-0010-0000-0000-00000A000000}" name="Fűtött alapterület [heated_floor_area_m2]"/>
    <tableColumn id="11" xr3:uid="{00000000-0010-0000-0000-00000B000000}" name="Fűtött térfogat [heated_volume_m3]"/>
    <tableColumn id="12" xr3:uid="{00000000-0010-0000-0000-00000C000000}" name="Átlagos belmagasság [default_height_m]"/>
    <tableColumn id="13" xr3:uid="{00000000-0010-0000-0000-00000D000000}" name="Szintek száma [floor_count]"/>
    <tableColumn id="14" xr3:uid="{00000000-0010-0000-0000-00000E000000}" name="Éghajlati település [climate_location]"/>
    <tableColumn id="15" xr3:uid="{00000000-0010-0000-0000-00000F000000}" name="Tanúsító neve [certifier_name]"/>
    <tableColumn id="16" xr3:uid="{00000000-0010-0000-0000-000010000000}" name="Tanúsítói azonosító [certifier_id]"/>
    <tableColumn id="17" xr3:uid="{00000000-0010-0000-0000-000011000000}" name="Alapértelmezett zóna ID [default_zone_id]"/>
    <tableColumn id="18" xr3:uid="{00000000-0010-0000-0000-000012000000}" name="Megjegyzés [note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ructuresTable" displayName="StructuresTable" ref="A5:P205" totalsRowShown="0">
  <tableColumns count="16">
    <tableColumn id="1" xr3:uid="{00000000-0010-0000-0100-000001000000}" name="Szerkezet ID [structure_id]"/>
    <tableColumn id="2" xr3:uid="{00000000-0010-0000-0100-000002000000}" name="Projekt ID [project_id]"/>
    <tableColumn id="3" xr3:uid="{00000000-0010-0000-0100-000003000000}" name="Megnevezés [name]"/>
    <tableColumn id="4" xr3:uid="{00000000-0010-0000-0100-000004000000}" name="Kategória [category]"/>
    <tableColumn id="5" xr3:uid="{00000000-0010-0000-0100-000005000000}" name="WinWatt típus [winwatt_type]"/>
    <tableColumn id="6" xr3:uid="{00000000-0010-0000-0100-000006000000}" name="Hőátbocsátási tényező [u_value_w_m2k]"/>
    <tableColumn id="7" xr3:uid="{00000000-0010-0000-0100-000007000000}" name="U-érték forrása [u_value_source]"/>
    <tableColumn id="8" xr3:uid="{00000000-0010-0000-0100-000008000000}" name="Rétegrend megadva [has_layers]"/>
    <tableColumn id="9" xr3:uid="{00000000-0010-0000-0100-000009000000}" name="Külső/belső oldal [layer_order]"/>
    <tableColumn id="10" xr3:uid="{00000000-0010-0000-0100-00000A000000}" name="g-érték [g_value]"/>
    <tableColumn id="11" xr3:uid="{00000000-0010-0000-0100-00000B000000}" name="Légáteresztés [air_permeability]"/>
    <tableColumn id="12" xr3:uid="{00000000-0010-0000-0100-00000C000000}" name="Keretarány [frame_fraction]"/>
    <tableColumn id="13" xr3:uid="{00000000-0010-0000-0100-00000D000000}" name="Állapot [status]"/>
    <tableColumn id="14" xr3:uid="{00000000-0010-0000-0100-00000E000000}" name="Forrásazonosító [source_ref]"/>
    <tableColumn id="15" xr3:uid="{00000000-0010-0000-0100-00000F000000}" name="Képreferencia [image_ref]"/>
    <tableColumn id="16" xr3:uid="{00000000-0010-0000-0100-000010000000}" name="Megjegyzés [note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ayersTable" displayName="LayersTable" ref="A5:N205" totalsRowShown="0">
  <tableColumns count="14">
    <tableColumn id="1" xr3:uid="{00000000-0010-0000-0200-000001000000}" name="Réteg ID [layer_id]"/>
    <tableColumn id="2" xr3:uid="{00000000-0010-0000-0200-000002000000}" name="Szerkezet ID [structure_id]"/>
    <tableColumn id="3" xr3:uid="{00000000-0010-0000-0200-000003000000}" name="Sorszám [sequence]"/>
    <tableColumn id="4" xr3:uid="{00000000-0010-0000-0200-000004000000}" name="Anyag megnevezése [material_name]"/>
    <tableColumn id="5" xr3:uid="{00000000-0010-0000-0200-000005000000}" name="WinWatt katalógus ID [catalog_material_id]"/>
    <tableColumn id="6" xr3:uid="{00000000-0010-0000-0200-000006000000}" name="Katalógus útvonal [catalog_path]"/>
    <tableColumn id="7" xr3:uid="{00000000-0010-0000-0200-000007000000}" name="Vastagság [thickness_m]"/>
    <tableColumn id="8" xr3:uid="{00000000-0010-0000-0200-000008000000}" name="Hővezetési tényező [lambda_w_mk]"/>
    <tableColumn id="9" xr3:uid="{00000000-0010-0000-0200-000009000000}" name="Sűrűség [density_kg_m3]"/>
    <tableColumn id="10" xr3:uid="{00000000-0010-0000-0200-00000A000000}" name="Páradiffúziós tényező [mu]"/>
    <tableColumn id="11" xr3:uid="{00000000-0010-0000-0200-00000B000000}" name="Hőellenállás [r_m2k_w]"/>
    <tableColumn id="12" xr3:uid="{00000000-0010-0000-0200-00000C000000}" name="Forrásazonosító [source_ref]"/>
    <tableColumn id="13" xr3:uid="{00000000-0010-0000-0200-00000D000000}" name="Képreferencia [image_ref]"/>
    <tableColumn id="14" xr3:uid="{00000000-0010-0000-0200-00000E000000}" name="Megjegyzés [note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omsTable" displayName="RoomsTable" ref="A5:N205" totalsRowShown="0">
  <tableColumns count="14">
    <tableColumn id="1" xr3:uid="{00000000-0010-0000-0300-000001000000}" name="Helyiség ID [room_id]"/>
    <tableColumn id="2" xr3:uid="{00000000-0010-0000-0300-000002000000}" name="Projekt ID [project_id]"/>
    <tableColumn id="3" xr3:uid="{00000000-0010-0000-0300-000003000000}" name="Zóna ID [zone_id]"/>
    <tableColumn id="4" xr3:uid="{00000000-0010-0000-0300-000004000000}" name="Szint [floor]"/>
    <tableColumn id="5" xr3:uid="{00000000-0010-0000-0300-000005000000}" name="Helyiség neve [name]"/>
    <tableColumn id="6" xr3:uid="{00000000-0010-0000-0300-000006000000}" name="Rendeltetés [use_type]"/>
    <tableColumn id="7" xr3:uid="{00000000-0010-0000-0300-000007000000}" name="Alapterület [floor_area_m2]"/>
    <tableColumn id="8" xr3:uid="{00000000-0010-0000-0300-000008000000}" name="Belmagasság [height_m]"/>
    <tableColumn id="9" xr3:uid="{00000000-0010-0000-0300-000009000000}" name="Térfogat [volume_m3]"/>
    <tableColumn id="10" xr3:uid="{00000000-0010-0000-0300-00000A000000}" name="Fűtött [heated]"/>
    <tableColumn id="11" xr3:uid="{00000000-0010-0000-0300-00000B000000}" name="Belső hőmérséklet [design_temp_c]"/>
    <tableColumn id="12" xr3:uid="{00000000-0010-0000-0300-00000C000000}" name="Forrásazonosító [source_ref]"/>
    <tableColumn id="13" xr3:uid="{00000000-0010-0000-0300-00000D000000}" name="Képreferencia [image_ref]"/>
    <tableColumn id="14" xr3:uid="{00000000-0010-0000-0300-00000E000000}" name="Megjegyzés [note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oundariesTable" displayName="BoundariesTable" ref="A5:U205" totalsRowShown="0">
  <tableColumns count="21">
    <tableColumn id="1" xr3:uid="{00000000-0010-0000-0400-000001000000}" name="Határoló ID [boundary_id]"/>
    <tableColumn id="2" xr3:uid="{00000000-0010-0000-0400-000002000000}" name="Helyiség ID [room_id]"/>
    <tableColumn id="3" xr3:uid="{00000000-0010-0000-0400-000003000000}" name="Szerkezet ID [structure_id]"/>
    <tableColumn id="4" xr3:uid="{00000000-0010-0000-0400-000004000000}" name="Határoló típusa [boundary_type]"/>
    <tableColumn id="5" xr3:uid="{00000000-0010-0000-0400-000005000000}" name="Túloldali tér [adjacent_space_type]"/>
    <tableColumn id="6" xr3:uid="{00000000-0010-0000-0400-000006000000}" name="Túloldali ID [adjacent_id]"/>
    <tableColumn id="7" xr3:uid="{00000000-0010-0000-0400-000007000000}" name="Tájolás [orientation_deg]"/>
    <tableColumn id="8" xr3:uid="{00000000-0010-0000-0400-000008000000}" name="Belső hossz [inside_length_m]"/>
    <tableColumn id="9" xr3:uid="{00000000-0010-0000-0400-000009000000}" name="Magasság [height_m]"/>
    <tableColumn id="10" xr3:uid="{00000000-0010-0000-0400-00000A000000}" name="Közvetlen bruttó felület [gross_area_override_m2]"/>
    <tableColumn id="11" xr3:uid="{00000000-0010-0000-0400-00000B000000}" name="Számított bruttó felület [gross_area_m2]"/>
    <tableColumn id="12" xr3:uid="{00000000-0010-0000-0400-00000C000000}" name="Nyílászárók területe [opening_area_m2]"/>
    <tableColumn id="13" xr3:uid="{00000000-0010-0000-0400-00000D000000}" name="Nettó szerkezetfelület [net_area_m2]"/>
    <tableColumn id="14" xr3:uid="{00000000-0010-0000-0400-00000E000000}" name="Hőmérséklet-korrekció [temperature_factor]"/>
    <tableColumn id="15" xr3:uid="{00000000-0010-0000-0400-00000F000000}" name="Lejtés [inclination_deg]"/>
    <tableColumn id="16" xr3:uid="{00000000-0010-0000-0400-000010000000}" name="Talajkapcsolati kerület [ground_perimeter_m]"/>
    <tableColumn id="17" xr3:uid="{00000000-0010-0000-0400-000011000000}" name="Állapot [status]"/>
    <tableColumn id="18" xr3:uid="{00000000-0010-0000-0400-000012000000}" name="Forrásazonosító [source_ref]"/>
    <tableColumn id="19" xr3:uid="{00000000-0010-0000-0400-000013000000}" name="Képreferencia [image_ref]"/>
    <tableColumn id="20" xr3:uid="{00000000-0010-0000-0400-000014000000}" name="Bizonyosság [confidence]"/>
    <tableColumn id="21" xr3:uid="{00000000-0010-0000-0400-000015000000}" name="Megjegyzés [note]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peningsTable" displayName="OpeningsTable" ref="A5:P205" totalsRowShown="0">
  <tableColumns count="16">
    <tableColumn id="1" xr3:uid="{00000000-0010-0000-0500-000001000000}" name="Nyílászáró ID [opening_id]"/>
    <tableColumn id="2" xr3:uid="{00000000-0010-0000-0500-000002000000}" name="Helyiség ID [room_id]"/>
    <tableColumn id="3" xr3:uid="{00000000-0010-0000-0500-000003000000}" name="Határoló ID [boundary_id]"/>
    <tableColumn id="4" xr3:uid="{00000000-0010-0000-0500-000004000000}" name="Szerkezet ID [structure_id]"/>
    <tableColumn id="5" xr3:uid="{00000000-0010-0000-0500-000005000000}" name="Típus [opening_type]"/>
    <tableColumn id="6" xr3:uid="{00000000-0010-0000-0500-000006000000}" name="Szélesség [width_m]"/>
    <tableColumn id="7" xr3:uid="{00000000-0010-0000-0500-000007000000}" name="Magasság [height_m]"/>
    <tableColumn id="8" xr3:uid="{00000000-0010-0000-0500-000008000000}" name="Darabszám [quantity]"/>
    <tableColumn id="9" xr3:uid="{00000000-0010-0000-0500-000009000000}" name="Összterület [area_m2]"/>
    <tableColumn id="10" xr3:uid="{00000000-0010-0000-0500-00000A000000}" name="Tájolás [orientation_deg]"/>
    <tableColumn id="11" xr3:uid="{00000000-0010-0000-0500-00000B000000}" name="Árnyékolás [shading]"/>
    <tableColumn id="12" xr3:uid="{00000000-0010-0000-0500-00000C000000}" name="Állapot [status]"/>
    <tableColumn id="13" xr3:uid="{00000000-0010-0000-0500-00000D000000}" name="Forrásazonosító [source_ref]"/>
    <tableColumn id="14" xr3:uid="{00000000-0010-0000-0500-00000E000000}" name="Képreferencia [image_ref]"/>
    <tableColumn id="15" xr3:uid="{00000000-0010-0000-0500-00000F000000}" name="Bizonyosság [confidence]"/>
    <tableColumn id="16" xr3:uid="{00000000-0010-0000-0500-000010000000}" name="Megjegyzés [note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echanicalTable" displayName="MechanicalTable" ref="A5:U205" totalsRowShown="0">
  <tableColumns count="21">
    <tableColumn id="1" xr3:uid="{00000000-0010-0000-0600-000001000000}" name="Rendszer ID [system_id]"/>
    <tableColumn id="2" xr3:uid="{00000000-0010-0000-0600-000002000000}" name="Projekt ID [project_id]"/>
    <tableColumn id="3" xr3:uid="{00000000-0010-0000-0600-000003000000}" name="Zóna ID [zone_id]"/>
    <tableColumn id="4" xr3:uid="{00000000-0010-0000-0600-000004000000}" name="Szolgáltatás [service_type]"/>
    <tableColumn id="5" xr3:uid="{00000000-0010-0000-0600-000005000000}" name="Rendszer megnevezése [name]"/>
    <tableColumn id="6" xr3:uid="{00000000-0010-0000-0600-000006000000}" name="Energiaforrás [energy_carrier]"/>
    <tableColumn id="7" xr3:uid="{00000000-0010-0000-0600-000007000000}" name="Hőtermelő típusa [generator_type]"/>
    <tableColumn id="8" xr3:uid="{00000000-0010-0000-0600-000008000000}" name="Gyártó/típus [product]"/>
    <tableColumn id="9" xr3:uid="{00000000-0010-0000-0600-000009000000}" name="Névleges teljesítmény [capacity_kw]"/>
    <tableColumn id="10" xr3:uid="{00000000-0010-0000-0600-00000A000000}" name="Hatásfok/COP/SCOP [efficiency]"/>
    <tableColumn id="11" xr3:uid="{00000000-0010-0000-0600-00000B000000}" name="Lefedettség [coverage_fraction]"/>
    <tableColumn id="12" xr3:uid="{00000000-0010-0000-0600-00000C000000}" name="Hőleadás [emitter_type]"/>
    <tableColumn id="13" xr3:uid="{00000000-0010-0000-0600-00000D000000}" name="Elosztás [distribution]"/>
    <tableColumn id="14" xr3:uid="{00000000-0010-0000-0600-00000E000000}" name="Szabályozás [control]"/>
    <tableColumn id="15" xr3:uid="{00000000-0010-0000-0600-00000F000000}" name="Tároló térfogat [storage_l]"/>
    <tableColumn id="16" xr3:uid="{00000000-0010-0000-0600-000010000000}" name="Segédenergia [auxiliary_kwh_y]"/>
    <tableColumn id="17" xr3:uid="{00000000-0010-0000-0600-000011000000}" name="Megújuló hozam [renewable_kwh_y]"/>
    <tableColumn id="18" xr3:uid="{00000000-0010-0000-0600-000012000000}" name="Állapot [status]"/>
    <tableColumn id="19" xr3:uid="{00000000-0010-0000-0600-000013000000}" name="Forrásazonosító [source_ref]"/>
    <tableColumn id="20" xr3:uid="{00000000-0010-0000-0600-000014000000}" name="Képreferencia [image_ref]"/>
    <tableColumn id="21" xr3:uid="{00000000-0010-0000-0600-000015000000}" name="Megjegyzés [note]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magesTable" displayName="ImagesTable" ref="A5:J205" totalsRowShown="0">
  <tableColumns count="10">
    <tableColumn id="1" xr3:uid="{00000000-0010-0000-0700-000001000000}" name="Kép ID [image_id]"/>
    <tableColumn id="2" xr3:uid="{00000000-0010-0000-0700-000002000000}" name="Projekt ID [project_id]"/>
    <tableColumn id="3" xr3:uid="{00000000-0010-0000-0700-000003000000}" name="Kapcsolt rekord típusa [entity_type]"/>
    <tableColumn id="4" xr3:uid="{00000000-0010-0000-0700-000004000000}" name="Kapcsolt rekord ID [entity_id]"/>
    <tableColumn id="5" xr3:uid="{00000000-0010-0000-0700-000005000000}" name="Fájlútvonal vagy URL [uri]"/>
    <tableColumn id="6" xr3:uid="{00000000-0010-0000-0700-000006000000}" name="Oldal [page]"/>
    <tableColumn id="7" xr3:uid="{00000000-0010-0000-0700-000007000000}" name="Kivágás/terület [region]"/>
    <tableColumn id="8" xr3:uid="{00000000-0010-0000-0700-000008000000}" name="Leírás [description]"/>
    <tableColumn id="9" xr3:uid="{00000000-0010-0000-0700-000009000000}" name="Forrás dátuma [source_date]"/>
    <tableColumn id="10" xr3:uid="{00000000-0010-0000-0700-00000A000000}" name="Megjegyzés [note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2:H12"/>
  <sheetViews>
    <sheetView showGridLines="0" tabSelected="1" workbookViewId="0"/>
  </sheetViews>
  <sheetFormatPr defaultRowHeight="14.25"/>
  <cols>
    <col min="1" max="1" width="30" customWidth="1"/>
    <col min="2" max="2" width="14" customWidth="1"/>
    <col min="3" max="3" width="3" customWidth="1"/>
    <col min="4" max="8" width="18" customWidth="1"/>
  </cols>
  <sheetData>
    <row r="2" spans="1:8" ht="24" customHeight="1">
      <c r="A2" s="2" t="s">
        <v>0</v>
      </c>
      <c r="B2" s="1"/>
      <c r="C2" s="1"/>
      <c r="D2" s="1"/>
      <c r="E2" s="1"/>
      <c r="F2" s="1"/>
      <c r="G2" s="1"/>
      <c r="H2" s="1"/>
    </row>
    <row r="3" spans="1:8">
      <c r="A3" s="3" t="s">
        <v>1</v>
      </c>
      <c r="B3" s="3"/>
      <c r="C3" s="3"/>
      <c r="D3" s="3"/>
      <c r="E3" s="3"/>
      <c r="F3" s="3"/>
      <c r="G3" s="3"/>
      <c r="H3" s="3"/>
    </row>
    <row r="5" spans="1:8" ht="15">
      <c r="A5" s="5" t="s">
        <v>2</v>
      </c>
      <c r="B5" s="6" t="s">
        <v>3</v>
      </c>
      <c r="D5" s="32" t="s">
        <v>4</v>
      </c>
      <c r="E5" s="32"/>
      <c r="F5" s="32"/>
      <c r="G5" s="32"/>
      <c r="H5" s="32"/>
    </row>
    <row r="6" spans="1:8">
      <c r="A6" s="7" t="s">
        <v>5</v>
      </c>
      <c r="B6" s="8">
        <f>COUNTIF(Projekt!A6:A205,"?*")</f>
        <v>0</v>
      </c>
      <c r="D6" s="33" t="s">
        <v>6</v>
      </c>
      <c r="E6" s="33"/>
      <c r="F6" s="33"/>
      <c r="G6" s="33"/>
      <c r="H6" s="33"/>
    </row>
    <row r="7" spans="1:8">
      <c r="A7" s="7" t="s">
        <v>7</v>
      </c>
      <c r="B7" s="8">
        <f>COUNTIF(Szerkezetek!A6:A205,"?*")</f>
        <v>0</v>
      </c>
      <c r="D7" s="33" t="s">
        <v>8</v>
      </c>
      <c r="E7" s="33"/>
      <c r="F7" s="33"/>
      <c r="G7" s="33"/>
      <c r="H7" s="33"/>
    </row>
    <row r="8" spans="1:8">
      <c r="A8" s="7" t="s">
        <v>9</v>
      </c>
      <c r="B8" s="8">
        <f>COUNTIF(Rétegek!A6:A205,"?*")</f>
        <v>0</v>
      </c>
      <c r="D8" s="33" t="s">
        <v>10</v>
      </c>
      <c r="E8" s="33"/>
      <c r="F8" s="33"/>
      <c r="G8" s="33"/>
      <c r="H8" s="33"/>
    </row>
    <row r="9" spans="1:8">
      <c r="A9" s="7" t="s">
        <v>11</v>
      </c>
      <c r="B9" s="8">
        <f>COUNTIF(Helyiségek!A6:A205,"?*")</f>
        <v>0</v>
      </c>
      <c r="D9" s="33" t="s">
        <v>12</v>
      </c>
      <c r="E9" s="33"/>
      <c r="F9" s="33"/>
      <c r="G9" s="33"/>
      <c r="H9" s="33"/>
    </row>
    <row r="10" spans="1:8">
      <c r="A10" s="7" t="s">
        <v>13</v>
      </c>
      <c r="B10" s="8">
        <f>COUNTIF(Határolók!A6:A205,"?*")</f>
        <v>0</v>
      </c>
      <c r="D10" s="33" t="s">
        <v>14</v>
      </c>
      <c r="E10" s="33"/>
      <c r="F10" s="33"/>
      <c r="G10" s="33"/>
      <c r="H10" s="33"/>
    </row>
    <row r="11" spans="1:8">
      <c r="A11" s="7" t="s">
        <v>15</v>
      </c>
      <c r="B11" s="8">
        <f>COUNTIF(Nyílászárók!A6:A205,"?*")</f>
        <v>0</v>
      </c>
      <c r="D11" s="33" t="s">
        <v>16</v>
      </c>
      <c r="E11" s="33"/>
      <c r="F11" s="33"/>
      <c r="G11" s="33"/>
      <c r="H11" s="33"/>
    </row>
    <row r="12" spans="1:8">
      <c r="A12" s="7" t="s">
        <v>17</v>
      </c>
      <c r="B12" s="8">
        <f>COUNTIF(Gépészet!A6:A205,"?*")</f>
        <v>0</v>
      </c>
    </row>
  </sheetData>
  <mergeCells count="7">
    <mergeCell ref="D10:H10"/>
    <mergeCell ref="D11:H11"/>
    <mergeCell ref="D5:H5"/>
    <mergeCell ref="D6:H6"/>
    <mergeCell ref="D7:H7"/>
    <mergeCell ref="D8:H8"/>
    <mergeCell ref="D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2:U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1" width="18" customWidth="1"/>
    <col min="2" max="2" width="28" customWidth="1"/>
    <col min="3" max="3" width="34" customWidth="1"/>
    <col min="4" max="4" width="15" customWidth="1"/>
    <col min="5" max="5" width="18" customWidth="1"/>
    <col min="6" max="7" width="20" customWidth="1"/>
    <col min="8" max="9" width="14" customWidth="1"/>
    <col min="10" max="12" width="18" customWidth="1"/>
    <col min="13" max="13" width="14" customWidth="1"/>
    <col min="14" max="14" width="22" customWidth="1"/>
    <col min="15" max="15" width="24" customWidth="1"/>
    <col min="16" max="16" width="18" customWidth="1"/>
    <col min="17" max="17" width="20" customWidth="1"/>
    <col min="18" max="18" width="34" customWidth="1"/>
  </cols>
  <sheetData>
    <row r="2" spans="1:21" ht="19.5">
      <c r="A2" s="2" t="s">
        <v>18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1">
      <c r="A3" s="3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21" ht="42" customHeight="1">
      <c r="A5" s="9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25</v>
      </c>
      <c r="G5" s="10" t="s">
        <v>26</v>
      </c>
      <c r="H5" s="10" t="s">
        <v>27</v>
      </c>
      <c r="I5" s="10" t="s">
        <v>28</v>
      </c>
      <c r="J5" s="10" t="s">
        <v>29</v>
      </c>
      <c r="K5" s="10" t="s">
        <v>30</v>
      </c>
      <c r="L5" s="10" t="s">
        <v>31</v>
      </c>
      <c r="M5" s="10" t="s">
        <v>32</v>
      </c>
      <c r="N5" s="10" t="s">
        <v>33</v>
      </c>
      <c r="O5" s="10" t="s">
        <v>34</v>
      </c>
      <c r="P5" s="10" t="s">
        <v>35</v>
      </c>
      <c r="Q5" s="10" t="s">
        <v>36</v>
      </c>
      <c r="R5" s="11" t="s">
        <v>37</v>
      </c>
    </row>
    <row r="6" spans="1:21" ht="20.100000000000001" customHeight="1">
      <c r="A6" s="12"/>
      <c r="B6" s="12"/>
      <c r="C6" s="12"/>
      <c r="D6" s="12"/>
      <c r="E6" s="12"/>
      <c r="F6" s="12"/>
      <c r="G6" s="12"/>
      <c r="H6" s="15"/>
      <c r="I6" s="15"/>
      <c r="J6" s="15"/>
      <c r="K6" s="15"/>
      <c r="L6" s="15"/>
      <c r="M6" s="15"/>
      <c r="N6" s="12"/>
      <c r="O6" s="12"/>
      <c r="P6" s="12"/>
      <c r="Q6" s="12"/>
      <c r="R6" s="12"/>
      <c r="S6" s="31"/>
      <c r="T6" s="31"/>
      <c r="U6" s="31"/>
    </row>
    <row r="7" spans="1:21" ht="20.100000000000001" customHeight="1">
      <c r="A7" s="13"/>
      <c r="B7" s="13"/>
      <c r="C7" s="13"/>
      <c r="D7" s="13"/>
      <c r="E7" s="13"/>
      <c r="F7" s="13"/>
      <c r="G7" s="13"/>
      <c r="H7" s="16"/>
      <c r="I7" s="16"/>
      <c r="J7" s="16"/>
      <c r="K7" s="16"/>
      <c r="L7" s="16"/>
      <c r="M7" s="16"/>
      <c r="N7" s="13"/>
      <c r="O7" s="13"/>
      <c r="P7" s="13"/>
      <c r="Q7" s="13"/>
      <c r="R7" s="13"/>
      <c r="S7" s="31"/>
      <c r="T7" s="31"/>
      <c r="U7" s="31"/>
    </row>
    <row r="8" spans="1:21" ht="20.100000000000001" customHeight="1">
      <c r="A8" s="13"/>
      <c r="B8" s="13"/>
      <c r="C8" s="13"/>
      <c r="D8" s="13"/>
      <c r="E8" s="13"/>
      <c r="F8" s="13"/>
      <c r="G8" s="13"/>
      <c r="H8" s="16"/>
      <c r="I8" s="16"/>
      <c r="J8" s="16"/>
      <c r="K8" s="16"/>
      <c r="L8" s="16"/>
      <c r="M8" s="16"/>
      <c r="N8" s="13"/>
      <c r="O8" s="13"/>
      <c r="P8" s="13"/>
      <c r="Q8" s="13"/>
      <c r="R8" s="13"/>
      <c r="S8" s="31"/>
      <c r="T8" s="31"/>
      <c r="U8" s="31"/>
    </row>
    <row r="9" spans="1:21" ht="20.100000000000001" customHeight="1">
      <c r="A9" s="13"/>
      <c r="B9" s="13"/>
      <c r="C9" s="13"/>
      <c r="D9" s="13"/>
      <c r="E9" s="13"/>
      <c r="F9" s="13"/>
      <c r="G9" s="13"/>
      <c r="H9" s="16"/>
      <c r="I9" s="16"/>
      <c r="J9" s="16"/>
      <c r="K9" s="16"/>
      <c r="L9" s="16"/>
      <c r="M9" s="16"/>
      <c r="N9" s="13"/>
      <c r="O9" s="13"/>
      <c r="P9" s="13"/>
      <c r="Q9" s="13"/>
      <c r="R9" s="13"/>
      <c r="S9" s="31"/>
      <c r="T9" s="31"/>
      <c r="U9" s="31"/>
    </row>
    <row r="10" spans="1:21" ht="20.100000000000001" customHeight="1">
      <c r="A10" s="13"/>
      <c r="B10" s="13"/>
      <c r="C10" s="13"/>
      <c r="D10" s="13"/>
      <c r="E10" s="13"/>
      <c r="F10" s="13"/>
      <c r="G10" s="13"/>
      <c r="H10" s="16"/>
      <c r="I10" s="16"/>
      <c r="J10" s="16"/>
      <c r="K10" s="16"/>
      <c r="L10" s="16"/>
      <c r="M10" s="16"/>
      <c r="N10" s="13"/>
      <c r="O10" s="13"/>
      <c r="P10" s="13"/>
      <c r="Q10" s="13"/>
      <c r="R10" s="13"/>
      <c r="S10" s="31"/>
      <c r="T10" s="31"/>
      <c r="U10" s="31"/>
    </row>
    <row r="11" spans="1:21" ht="20.100000000000001" customHeight="1">
      <c r="A11" s="13"/>
      <c r="B11" s="13"/>
      <c r="C11" s="13"/>
      <c r="D11" s="13"/>
      <c r="E11" s="13"/>
      <c r="F11" s="13"/>
      <c r="G11" s="13"/>
      <c r="H11" s="16"/>
      <c r="I11" s="16"/>
      <c r="J11" s="16"/>
      <c r="K11" s="16"/>
      <c r="L11" s="16"/>
      <c r="M11" s="16"/>
      <c r="N11" s="13"/>
      <c r="O11" s="13"/>
      <c r="P11" s="13"/>
      <c r="Q11" s="13"/>
      <c r="R11" s="13"/>
      <c r="S11" s="31"/>
      <c r="T11" s="31"/>
      <c r="U11" s="31"/>
    </row>
    <row r="12" spans="1:21" ht="20.100000000000001" customHeight="1">
      <c r="A12" s="13"/>
      <c r="B12" s="13"/>
      <c r="C12" s="13"/>
      <c r="D12" s="13"/>
      <c r="E12" s="13"/>
      <c r="F12" s="13"/>
      <c r="G12" s="13"/>
      <c r="H12" s="16"/>
      <c r="I12" s="16"/>
      <c r="J12" s="16"/>
      <c r="K12" s="16"/>
      <c r="L12" s="16"/>
      <c r="M12" s="16"/>
      <c r="N12" s="13"/>
      <c r="O12" s="13"/>
      <c r="P12" s="13"/>
      <c r="Q12" s="13"/>
      <c r="R12" s="13"/>
      <c r="S12" s="31"/>
      <c r="T12" s="31"/>
      <c r="U12" s="31"/>
    </row>
    <row r="13" spans="1:21" ht="20.100000000000001" customHeight="1">
      <c r="A13" s="13"/>
      <c r="B13" s="13"/>
      <c r="C13" s="13"/>
      <c r="D13" s="13"/>
      <c r="E13" s="13"/>
      <c r="F13" s="13"/>
      <c r="G13" s="13"/>
      <c r="H13" s="16"/>
      <c r="I13" s="16"/>
      <c r="J13" s="16"/>
      <c r="K13" s="16"/>
      <c r="L13" s="16"/>
      <c r="M13" s="16"/>
      <c r="N13" s="13"/>
      <c r="O13" s="13"/>
      <c r="P13" s="13"/>
      <c r="Q13" s="13"/>
      <c r="R13" s="13"/>
      <c r="S13" s="31"/>
      <c r="T13" s="31"/>
      <c r="U13" s="31"/>
    </row>
    <row r="14" spans="1:21" ht="20.100000000000001" customHeight="1">
      <c r="A14" s="13"/>
      <c r="B14" s="13"/>
      <c r="C14" s="13"/>
      <c r="D14" s="13"/>
      <c r="E14" s="13"/>
      <c r="F14" s="13"/>
      <c r="G14" s="13"/>
      <c r="H14" s="16"/>
      <c r="I14" s="16"/>
      <c r="J14" s="16"/>
      <c r="K14" s="16"/>
      <c r="L14" s="16"/>
      <c r="M14" s="16"/>
      <c r="N14" s="13"/>
      <c r="O14" s="13"/>
      <c r="P14" s="13"/>
      <c r="Q14" s="13"/>
      <c r="R14" s="13"/>
      <c r="S14" s="31"/>
      <c r="T14" s="31"/>
      <c r="U14" s="31"/>
    </row>
    <row r="15" spans="1:21" ht="20.100000000000001" customHeight="1">
      <c r="A15" s="13"/>
      <c r="B15" s="13"/>
      <c r="C15" s="13"/>
      <c r="D15" s="13"/>
      <c r="E15" s="13"/>
      <c r="F15" s="13"/>
      <c r="G15" s="13"/>
      <c r="H15" s="16"/>
      <c r="I15" s="16"/>
      <c r="J15" s="16"/>
      <c r="K15" s="16"/>
      <c r="L15" s="16"/>
      <c r="M15" s="16"/>
      <c r="N15" s="13"/>
      <c r="O15" s="13"/>
      <c r="P15" s="13"/>
      <c r="Q15" s="13"/>
      <c r="R15" s="13"/>
      <c r="S15" s="31"/>
      <c r="T15" s="31"/>
      <c r="U15" s="31"/>
    </row>
    <row r="16" spans="1:21" ht="20.100000000000001" customHeight="1">
      <c r="A16" s="13"/>
      <c r="B16" s="13"/>
      <c r="C16" s="13"/>
      <c r="D16" s="13"/>
      <c r="E16" s="13"/>
      <c r="F16" s="13"/>
      <c r="G16" s="13"/>
      <c r="H16" s="16"/>
      <c r="I16" s="16"/>
      <c r="J16" s="16"/>
      <c r="K16" s="16"/>
      <c r="L16" s="16"/>
      <c r="M16" s="16"/>
      <c r="N16" s="13"/>
      <c r="O16" s="13"/>
      <c r="P16" s="13"/>
      <c r="Q16" s="13"/>
      <c r="R16" s="13"/>
      <c r="S16" s="31"/>
      <c r="T16" s="31"/>
      <c r="U16" s="31"/>
    </row>
    <row r="17" spans="1:21" ht="20.100000000000001" customHeight="1">
      <c r="A17" s="13"/>
      <c r="B17" s="13"/>
      <c r="C17" s="13"/>
      <c r="D17" s="13"/>
      <c r="E17" s="13"/>
      <c r="F17" s="13"/>
      <c r="G17" s="13"/>
      <c r="H17" s="16"/>
      <c r="I17" s="16"/>
      <c r="J17" s="16"/>
      <c r="K17" s="16"/>
      <c r="L17" s="16"/>
      <c r="M17" s="16"/>
      <c r="N17" s="13"/>
      <c r="O17" s="13"/>
      <c r="P17" s="13"/>
      <c r="Q17" s="13"/>
      <c r="R17" s="13"/>
      <c r="S17" s="31"/>
      <c r="T17" s="31"/>
      <c r="U17" s="31"/>
    </row>
    <row r="18" spans="1:21" ht="20.100000000000001" customHeight="1">
      <c r="A18" s="13"/>
      <c r="B18" s="13"/>
      <c r="C18" s="13"/>
      <c r="D18" s="13"/>
      <c r="E18" s="13"/>
      <c r="F18" s="13"/>
      <c r="G18" s="13"/>
      <c r="H18" s="16"/>
      <c r="I18" s="16"/>
      <c r="J18" s="16"/>
      <c r="K18" s="16"/>
      <c r="L18" s="16"/>
      <c r="M18" s="16"/>
      <c r="N18" s="13"/>
      <c r="O18" s="13"/>
      <c r="P18" s="13"/>
      <c r="Q18" s="13"/>
      <c r="R18" s="13"/>
      <c r="S18" s="31"/>
      <c r="T18" s="31"/>
      <c r="U18" s="31"/>
    </row>
    <row r="19" spans="1:21" ht="20.100000000000001" customHeight="1">
      <c r="A19" s="13"/>
      <c r="B19" s="13"/>
      <c r="C19" s="13"/>
      <c r="D19" s="13"/>
      <c r="E19" s="13"/>
      <c r="F19" s="13"/>
      <c r="G19" s="13"/>
      <c r="H19" s="16"/>
      <c r="I19" s="16"/>
      <c r="J19" s="16"/>
      <c r="K19" s="16"/>
      <c r="L19" s="16"/>
      <c r="M19" s="16"/>
      <c r="N19" s="13"/>
      <c r="O19" s="13"/>
      <c r="P19" s="13"/>
      <c r="Q19" s="13"/>
      <c r="R19" s="13"/>
      <c r="S19" s="31"/>
      <c r="T19" s="31"/>
      <c r="U19" s="31"/>
    </row>
    <row r="20" spans="1:21" ht="20.100000000000001" customHeight="1">
      <c r="A20" s="13"/>
      <c r="B20" s="13"/>
      <c r="C20" s="13"/>
      <c r="D20" s="13"/>
      <c r="E20" s="13"/>
      <c r="F20" s="13"/>
      <c r="G20" s="13"/>
      <c r="H20" s="16"/>
      <c r="I20" s="16"/>
      <c r="J20" s="16"/>
      <c r="K20" s="16"/>
      <c r="L20" s="16"/>
      <c r="M20" s="16"/>
      <c r="N20" s="13"/>
      <c r="O20" s="13"/>
      <c r="P20" s="13"/>
      <c r="Q20" s="13"/>
      <c r="R20" s="13"/>
      <c r="S20" s="31"/>
      <c r="T20" s="31"/>
      <c r="U20" s="31"/>
    </row>
    <row r="21" spans="1:21" ht="20.100000000000001" customHeight="1">
      <c r="A21" s="13"/>
      <c r="B21" s="13"/>
      <c r="C21" s="13"/>
      <c r="D21" s="13"/>
      <c r="E21" s="13"/>
      <c r="F21" s="13"/>
      <c r="G21" s="13"/>
      <c r="H21" s="16"/>
      <c r="I21" s="16"/>
      <c r="J21" s="16"/>
      <c r="K21" s="16"/>
      <c r="L21" s="16"/>
      <c r="M21" s="16"/>
      <c r="N21" s="13"/>
      <c r="O21" s="13"/>
      <c r="P21" s="13"/>
      <c r="Q21" s="13"/>
      <c r="R21" s="13"/>
      <c r="S21" s="31"/>
      <c r="T21" s="31"/>
      <c r="U21" s="31"/>
    </row>
    <row r="22" spans="1:21" ht="20.100000000000001" customHeight="1">
      <c r="A22" s="13"/>
      <c r="B22" s="13"/>
      <c r="C22" s="13"/>
      <c r="D22" s="13"/>
      <c r="E22" s="13"/>
      <c r="F22" s="13"/>
      <c r="G22" s="13"/>
      <c r="H22" s="16"/>
      <c r="I22" s="16"/>
      <c r="J22" s="16"/>
      <c r="K22" s="16"/>
      <c r="L22" s="16"/>
      <c r="M22" s="16"/>
      <c r="N22" s="13"/>
      <c r="O22" s="13"/>
      <c r="P22" s="13"/>
      <c r="Q22" s="13"/>
      <c r="R22" s="13"/>
      <c r="S22" s="31"/>
      <c r="T22" s="31"/>
      <c r="U22" s="31"/>
    </row>
    <row r="23" spans="1:21" ht="20.100000000000001" customHeight="1">
      <c r="A23" s="13"/>
      <c r="B23" s="13"/>
      <c r="C23" s="13"/>
      <c r="D23" s="13"/>
      <c r="E23" s="13"/>
      <c r="F23" s="13"/>
      <c r="G23" s="13"/>
      <c r="H23" s="16"/>
      <c r="I23" s="16"/>
      <c r="J23" s="16"/>
      <c r="K23" s="16"/>
      <c r="L23" s="16"/>
      <c r="M23" s="16"/>
      <c r="N23" s="13"/>
      <c r="O23" s="13"/>
      <c r="P23" s="13"/>
      <c r="Q23" s="13"/>
      <c r="R23" s="13"/>
      <c r="S23" s="31"/>
      <c r="T23" s="31"/>
      <c r="U23" s="31"/>
    </row>
    <row r="24" spans="1:21" ht="20.100000000000001" customHeight="1">
      <c r="A24" s="13"/>
      <c r="B24" s="13"/>
      <c r="C24" s="13"/>
      <c r="D24" s="13"/>
      <c r="E24" s="13"/>
      <c r="F24" s="13"/>
      <c r="G24" s="13"/>
      <c r="H24" s="16"/>
      <c r="I24" s="16"/>
      <c r="J24" s="16"/>
      <c r="K24" s="16"/>
      <c r="L24" s="16"/>
      <c r="M24" s="16"/>
      <c r="N24" s="13"/>
      <c r="O24" s="13"/>
      <c r="P24" s="13"/>
      <c r="Q24" s="13"/>
      <c r="R24" s="13"/>
      <c r="S24" s="31"/>
      <c r="T24" s="31"/>
      <c r="U24" s="31"/>
    </row>
    <row r="25" spans="1:21" ht="20.100000000000001" customHeight="1">
      <c r="A25" s="13"/>
      <c r="B25" s="13"/>
      <c r="C25" s="13"/>
      <c r="D25" s="13"/>
      <c r="E25" s="13"/>
      <c r="F25" s="13"/>
      <c r="G25" s="13"/>
      <c r="H25" s="16"/>
      <c r="I25" s="16"/>
      <c r="J25" s="16"/>
      <c r="K25" s="16"/>
      <c r="L25" s="16"/>
      <c r="M25" s="16"/>
      <c r="N25" s="13"/>
      <c r="O25" s="13"/>
      <c r="P25" s="13"/>
      <c r="Q25" s="13"/>
      <c r="R25" s="13"/>
      <c r="S25" s="31"/>
      <c r="T25" s="31"/>
      <c r="U25" s="31"/>
    </row>
    <row r="26" spans="1:21" ht="20.100000000000001" customHeight="1">
      <c r="A26" s="13"/>
      <c r="B26" s="13"/>
      <c r="C26" s="13"/>
      <c r="D26" s="13"/>
      <c r="E26" s="13"/>
      <c r="F26" s="13"/>
      <c r="G26" s="13"/>
      <c r="H26" s="16"/>
      <c r="I26" s="16"/>
      <c r="J26" s="16"/>
      <c r="K26" s="16"/>
      <c r="L26" s="16"/>
      <c r="M26" s="16"/>
      <c r="N26" s="13"/>
      <c r="O26" s="13"/>
      <c r="P26" s="13"/>
      <c r="Q26" s="13"/>
      <c r="R26" s="13"/>
      <c r="S26" s="31"/>
      <c r="T26" s="31"/>
      <c r="U26" s="31"/>
    </row>
    <row r="27" spans="1:21" ht="20.100000000000001" customHeight="1">
      <c r="A27" s="13"/>
      <c r="B27" s="13"/>
      <c r="C27" s="13"/>
      <c r="D27" s="13"/>
      <c r="E27" s="13"/>
      <c r="F27" s="13"/>
      <c r="G27" s="13"/>
      <c r="H27" s="16"/>
      <c r="I27" s="16"/>
      <c r="J27" s="16"/>
      <c r="K27" s="16"/>
      <c r="L27" s="16"/>
      <c r="M27" s="16"/>
      <c r="N27" s="13"/>
      <c r="O27" s="13"/>
      <c r="P27" s="13"/>
      <c r="Q27" s="13"/>
      <c r="R27" s="13"/>
      <c r="S27" s="31"/>
      <c r="T27" s="31"/>
      <c r="U27" s="31"/>
    </row>
    <row r="28" spans="1:21" ht="20.100000000000001" customHeight="1">
      <c r="A28" s="13"/>
      <c r="B28" s="13"/>
      <c r="C28" s="13"/>
      <c r="D28" s="13"/>
      <c r="E28" s="13"/>
      <c r="F28" s="13"/>
      <c r="G28" s="13"/>
      <c r="H28" s="16"/>
      <c r="I28" s="16"/>
      <c r="J28" s="16"/>
      <c r="K28" s="16"/>
      <c r="L28" s="16"/>
      <c r="M28" s="16"/>
      <c r="N28" s="13"/>
      <c r="O28" s="13"/>
      <c r="P28" s="13"/>
      <c r="Q28" s="13"/>
      <c r="R28" s="13"/>
      <c r="S28" s="31"/>
      <c r="T28" s="31"/>
      <c r="U28" s="31"/>
    </row>
    <row r="29" spans="1:21" ht="20.100000000000001" customHeight="1">
      <c r="A29" s="13"/>
      <c r="B29" s="13"/>
      <c r="C29" s="13"/>
      <c r="D29" s="13"/>
      <c r="E29" s="13"/>
      <c r="F29" s="13"/>
      <c r="G29" s="13"/>
      <c r="H29" s="16"/>
      <c r="I29" s="16"/>
      <c r="J29" s="16"/>
      <c r="K29" s="16"/>
      <c r="L29" s="16"/>
      <c r="M29" s="16"/>
      <c r="N29" s="13"/>
      <c r="O29" s="13"/>
      <c r="P29" s="13"/>
      <c r="Q29" s="13"/>
      <c r="R29" s="13"/>
      <c r="S29" s="31"/>
      <c r="T29" s="31"/>
      <c r="U29" s="31"/>
    </row>
    <row r="30" spans="1:21" ht="20.100000000000001" customHeight="1">
      <c r="A30" s="13"/>
      <c r="B30" s="13"/>
      <c r="C30" s="13"/>
      <c r="D30" s="13"/>
      <c r="E30" s="13"/>
      <c r="F30" s="13"/>
      <c r="G30" s="13"/>
      <c r="H30" s="16"/>
      <c r="I30" s="16"/>
      <c r="J30" s="16"/>
      <c r="K30" s="16"/>
      <c r="L30" s="16"/>
      <c r="M30" s="16"/>
      <c r="N30" s="13"/>
      <c r="O30" s="13"/>
      <c r="P30" s="13"/>
      <c r="Q30" s="13"/>
      <c r="R30" s="13"/>
      <c r="S30" s="31"/>
      <c r="T30" s="31"/>
      <c r="U30" s="31"/>
    </row>
    <row r="31" spans="1:21" ht="20.100000000000001" customHeight="1">
      <c r="A31" s="13"/>
      <c r="B31" s="13"/>
      <c r="C31" s="13"/>
      <c r="D31" s="13"/>
      <c r="E31" s="13"/>
      <c r="F31" s="13"/>
      <c r="G31" s="13"/>
      <c r="H31" s="16"/>
      <c r="I31" s="16"/>
      <c r="J31" s="16"/>
      <c r="K31" s="16"/>
      <c r="L31" s="16"/>
      <c r="M31" s="16"/>
      <c r="N31" s="13"/>
      <c r="O31" s="13"/>
      <c r="P31" s="13"/>
      <c r="Q31" s="13"/>
      <c r="R31" s="13"/>
      <c r="S31" s="31"/>
      <c r="T31" s="31"/>
      <c r="U31" s="31"/>
    </row>
    <row r="32" spans="1:21" ht="20.100000000000001" customHeight="1">
      <c r="A32" s="13"/>
      <c r="B32" s="13"/>
      <c r="C32" s="13"/>
      <c r="D32" s="13"/>
      <c r="E32" s="13"/>
      <c r="F32" s="13"/>
      <c r="G32" s="13"/>
      <c r="H32" s="16"/>
      <c r="I32" s="16"/>
      <c r="J32" s="16"/>
      <c r="K32" s="16"/>
      <c r="L32" s="16"/>
      <c r="M32" s="16"/>
      <c r="N32" s="13"/>
      <c r="O32" s="13"/>
      <c r="P32" s="13"/>
      <c r="Q32" s="13"/>
      <c r="R32" s="13"/>
      <c r="S32" s="31"/>
      <c r="T32" s="31"/>
      <c r="U32" s="31"/>
    </row>
    <row r="33" spans="1:21" ht="20.100000000000001" customHeight="1">
      <c r="A33" s="13"/>
      <c r="B33" s="13"/>
      <c r="C33" s="13"/>
      <c r="D33" s="13"/>
      <c r="E33" s="13"/>
      <c r="F33" s="13"/>
      <c r="G33" s="13"/>
      <c r="H33" s="16"/>
      <c r="I33" s="16"/>
      <c r="J33" s="16"/>
      <c r="K33" s="16"/>
      <c r="L33" s="16"/>
      <c r="M33" s="16"/>
      <c r="N33" s="13"/>
      <c r="O33" s="13"/>
      <c r="P33" s="13"/>
      <c r="Q33" s="13"/>
      <c r="R33" s="13"/>
      <c r="S33" s="31"/>
      <c r="T33" s="31"/>
      <c r="U33" s="31"/>
    </row>
    <row r="34" spans="1:21" ht="20.100000000000001" customHeight="1">
      <c r="A34" s="13"/>
      <c r="B34" s="13"/>
      <c r="C34" s="13"/>
      <c r="D34" s="13"/>
      <c r="E34" s="13"/>
      <c r="F34" s="13"/>
      <c r="G34" s="13"/>
      <c r="H34" s="16"/>
      <c r="I34" s="16"/>
      <c r="J34" s="16"/>
      <c r="K34" s="16"/>
      <c r="L34" s="16"/>
      <c r="M34" s="16"/>
      <c r="N34" s="13"/>
      <c r="O34" s="13"/>
      <c r="P34" s="13"/>
      <c r="Q34" s="13"/>
      <c r="R34" s="13"/>
      <c r="S34" s="31"/>
      <c r="T34" s="31"/>
      <c r="U34" s="31"/>
    </row>
    <row r="35" spans="1:21" ht="20.100000000000001" customHeight="1">
      <c r="A35" s="13"/>
      <c r="B35" s="13"/>
      <c r="C35" s="13"/>
      <c r="D35" s="13"/>
      <c r="E35" s="13"/>
      <c r="F35" s="13"/>
      <c r="G35" s="13"/>
      <c r="H35" s="16"/>
      <c r="I35" s="16"/>
      <c r="J35" s="16"/>
      <c r="K35" s="16"/>
      <c r="L35" s="16"/>
      <c r="M35" s="16"/>
      <c r="N35" s="13"/>
      <c r="O35" s="13"/>
      <c r="P35" s="13"/>
      <c r="Q35" s="13"/>
      <c r="R35" s="13"/>
      <c r="S35" s="31"/>
      <c r="T35" s="31"/>
      <c r="U35" s="31"/>
    </row>
    <row r="36" spans="1:21" ht="20.100000000000001" customHeight="1">
      <c r="A36" s="13"/>
      <c r="B36" s="13"/>
      <c r="C36" s="13"/>
      <c r="D36" s="13"/>
      <c r="E36" s="13"/>
      <c r="F36" s="13"/>
      <c r="G36" s="13"/>
      <c r="H36" s="16"/>
      <c r="I36" s="16"/>
      <c r="J36" s="16"/>
      <c r="K36" s="16"/>
      <c r="L36" s="16"/>
      <c r="M36" s="16"/>
      <c r="N36" s="13"/>
      <c r="O36" s="13"/>
      <c r="P36" s="13"/>
      <c r="Q36" s="13"/>
      <c r="R36" s="13"/>
      <c r="S36" s="31"/>
      <c r="T36" s="31"/>
      <c r="U36" s="31"/>
    </row>
    <row r="37" spans="1:21" ht="20.100000000000001" customHeight="1">
      <c r="A37" s="13"/>
      <c r="B37" s="13"/>
      <c r="C37" s="13"/>
      <c r="D37" s="13"/>
      <c r="E37" s="13"/>
      <c r="F37" s="13"/>
      <c r="G37" s="13"/>
      <c r="H37" s="16"/>
      <c r="I37" s="16"/>
      <c r="J37" s="16"/>
      <c r="K37" s="16"/>
      <c r="L37" s="16"/>
      <c r="M37" s="16"/>
      <c r="N37" s="13"/>
      <c r="O37" s="13"/>
      <c r="P37" s="13"/>
      <c r="Q37" s="13"/>
      <c r="R37" s="13"/>
      <c r="S37" s="31"/>
      <c r="T37" s="31"/>
      <c r="U37" s="31"/>
    </row>
    <row r="38" spans="1:21" ht="20.100000000000001" customHeight="1">
      <c r="A38" s="13"/>
      <c r="B38" s="13"/>
      <c r="C38" s="13"/>
      <c r="D38" s="13"/>
      <c r="E38" s="13"/>
      <c r="F38" s="13"/>
      <c r="G38" s="13"/>
      <c r="H38" s="16"/>
      <c r="I38" s="16"/>
      <c r="J38" s="16"/>
      <c r="K38" s="16"/>
      <c r="L38" s="16"/>
      <c r="M38" s="16"/>
      <c r="N38" s="13"/>
      <c r="O38" s="13"/>
      <c r="P38" s="13"/>
      <c r="Q38" s="13"/>
      <c r="R38" s="13"/>
      <c r="S38" s="31"/>
      <c r="T38" s="31"/>
      <c r="U38" s="31"/>
    </row>
    <row r="39" spans="1:21" ht="20.100000000000001" customHeight="1">
      <c r="A39" s="13"/>
      <c r="B39" s="13"/>
      <c r="C39" s="13"/>
      <c r="D39" s="13"/>
      <c r="E39" s="13"/>
      <c r="F39" s="13"/>
      <c r="G39" s="13"/>
      <c r="H39" s="16"/>
      <c r="I39" s="16"/>
      <c r="J39" s="16"/>
      <c r="K39" s="16"/>
      <c r="L39" s="16"/>
      <c r="M39" s="16"/>
      <c r="N39" s="13"/>
      <c r="O39" s="13"/>
      <c r="P39" s="13"/>
      <c r="Q39" s="13"/>
      <c r="R39" s="13"/>
      <c r="S39" s="31"/>
      <c r="T39" s="31"/>
      <c r="U39" s="31"/>
    </row>
    <row r="40" spans="1:21" ht="20.100000000000001" customHeight="1">
      <c r="A40" s="13"/>
      <c r="B40" s="13"/>
      <c r="C40" s="13"/>
      <c r="D40" s="13"/>
      <c r="E40" s="13"/>
      <c r="F40" s="13"/>
      <c r="G40" s="13"/>
      <c r="H40" s="16"/>
      <c r="I40" s="16"/>
      <c r="J40" s="16"/>
      <c r="K40" s="16"/>
      <c r="L40" s="16"/>
      <c r="M40" s="16"/>
      <c r="N40" s="13"/>
      <c r="O40" s="13"/>
      <c r="P40" s="13"/>
      <c r="Q40" s="13"/>
      <c r="R40" s="13"/>
      <c r="S40" s="31"/>
      <c r="T40" s="31"/>
      <c r="U40" s="31"/>
    </row>
    <row r="41" spans="1:21" ht="20.100000000000001" customHeight="1">
      <c r="A41" s="13"/>
      <c r="B41" s="13"/>
      <c r="C41" s="13"/>
      <c r="D41" s="13"/>
      <c r="E41" s="13"/>
      <c r="F41" s="13"/>
      <c r="G41" s="13"/>
      <c r="H41" s="16"/>
      <c r="I41" s="16"/>
      <c r="J41" s="16"/>
      <c r="K41" s="16"/>
      <c r="L41" s="16"/>
      <c r="M41" s="16"/>
      <c r="N41" s="13"/>
      <c r="O41" s="13"/>
      <c r="P41" s="13"/>
      <c r="Q41" s="13"/>
      <c r="R41" s="13"/>
      <c r="S41" s="31"/>
      <c r="T41" s="31"/>
      <c r="U41" s="31"/>
    </row>
    <row r="42" spans="1:21" ht="20.100000000000001" customHeight="1">
      <c r="A42" s="13"/>
      <c r="B42" s="13"/>
      <c r="C42" s="13"/>
      <c r="D42" s="13"/>
      <c r="E42" s="13"/>
      <c r="F42" s="13"/>
      <c r="G42" s="13"/>
      <c r="H42" s="16"/>
      <c r="I42" s="16"/>
      <c r="J42" s="16"/>
      <c r="K42" s="16"/>
      <c r="L42" s="16"/>
      <c r="M42" s="16"/>
      <c r="N42" s="13"/>
      <c r="O42" s="13"/>
      <c r="P42" s="13"/>
      <c r="Q42" s="13"/>
      <c r="R42" s="13"/>
      <c r="S42" s="31"/>
      <c r="T42" s="31"/>
      <c r="U42" s="31"/>
    </row>
    <row r="43" spans="1:21" ht="20.100000000000001" customHeight="1">
      <c r="A43" s="13"/>
      <c r="B43" s="13"/>
      <c r="C43" s="13"/>
      <c r="D43" s="13"/>
      <c r="E43" s="13"/>
      <c r="F43" s="13"/>
      <c r="G43" s="13"/>
      <c r="H43" s="16"/>
      <c r="I43" s="16"/>
      <c r="J43" s="16"/>
      <c r="K43" s="16"/>
      <c r="L43" s="16"/>
      <c r="M43" s="16"/>
      <c r="N43" s="13"/>
      <c r="O43" s="13"/>
      <c r="P43" s="13"/>
      <c r="Q43" s="13"/>
      <c r="R43" s="13"/>
      <c r="S43" s="31"/>
      <c r="T43" s="31"/>
      <c r="U43" s="31"/>
    </row>
    <row r="44" spans="1:21" ht="20.100000000000001" customHeight="1">
      <c r="A44" s="13"/>
      <c r="B44" s="13"/>
      <c r="C44" s="13"/>
      <c r="D44" s="13"/>
      <c r="E44" s="13"/>
      <c r="F44" s="13"/>
      <c r="G44" s="13"/>
      <c r="H44" s="16"/>
      <c r="I44" s="16"/>
      <c r="J44" s="16"/>
      <c r="K44" s="16"/>
      <c r="L44" s="16"/>
      <c r="M44" s="16"/>
      <c r="N44" s="13"/>
      <c r="O44" s="13"/>
      <c r="P44" s="13"/>
      <c r="Q44" s="13"/>
      <c r="R44" s="13"/>
      <c r="S44" s="31"/>
      <c r="T44" s="31"/>
      <c r="U44" s="31"/>
    </row>
    <row r="45" spans="1:21" ht="20.100000000000001" customHeight="1">
      <c r="A45" s="13"/>
      <c r="B45" s="13"/>
      <c r="C45" s="13"/>
      <c r="D45" s="13"/>
      <c r="E45" s="13"/>
      <c r="F45" s="13"/>
      <c r="G45" s="13"/>
      <c r="H45" s="16"/>
      <c r="I45" s="16"/>
      <c r="J45" s="16"/>
      <c r="K45" s="16"/>
      <c r="L45" s="16"/>
      <c r="M45" s="16"/>
      <c r="N45" s="13"/>
      <c r="O45" s="13"/>
      <c r="P45" s="13"/>
      <c r="Q45" s="13"/>
      <c r="R45" s="13"/>
      <c r="S45" s="31"/>
      <c r="T45" s="31"/>
      <c r="U45" s="31"/>
    </row>
    <row r="46" spans="1:21" ht="20.100000000000001" customHeight="1">
      <c r="A46" s="13"/>
      <c r="B46" s="13"/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3"/>
      <c r="O46" s="13"/>
      <c r="P46" s="13"/>
      <c r="Q46" s="13"/>
      <c r="R46" s="13"/>
      <c r="S46" s="31"/>
      <c r="T46" s="31"/>
      <c r="U46" s="31"/>
    </row>
    <row r="47" spans="1:21" ht="20.100000000000001" customHeight="1">
      <c r="A47" s="13"/>
      <c r="B47" s="13"/>
      <c r="C47" s="13"/>
      <c r="D47" s="13"/>
      <c r="E47" s="13"/>
      <c r="F47" s="13"/>
      <c r="G47" s="13"/>
      <c r="H47" s="16"/>
      <c r="I47" s="16"/>
      <c r="J47" s="16"/>
      <c r="K47" s="16"/>
      <c r="L47" s="16"/>
      <c r="M47" s="16"/>
      <c r="N47" s="13"/>
      <c r="O47" s="13"/>
      <c r="P47" s="13"/>
      <c r="Q47" s="13"/>
      <c r="R47" s="13"/>
      <c r="S47" s="31"/>
      <c r="T47" s="31"/>
      <c r="U47" s="31"/>
    </row>
    <row r="48" spans="1:21" ht="20.100000000000001" customHeight="1">
      <c r="A48" s="13"/>
      <c r="B48" s="13"/>
      <c r="C48" s="13"/>
      <c r="D48" s="13"/>
      <c r="E48" s="13"/>
      <c r="F48" s="13"/>
      <c r="G48" s="13"/>
      <c r="H48" s="16"/>
      <c r="I48" s="16"/>
      <c r="J48" s="16"/>
      <c r="K48" s="16"/>
      <c r="L48" s="16"/>
      <c r="M48" s="16"/>
      <c r="N48" s="13"/>
      <c r="O48" s="13"/>
      <c r="P48" s="13"/>
      <c r="Q48" s="13"/>
      <c r="R48" s="13"/>
      <c r="S48" s="31"/>
      <c r="T48" s="31"/>
      <c r="U48" s="31"/>
    </row>
    <row r="49" spans="1:21" ht="20.100000000000001" customHeight="1">
      <c r="A49" s="13"/>
      <c r="B49" s="13"/>
      <c r="C49" s="13"/>
      <c r="D49" s="13"/>
      <c r="E49" s="13"/>
      <c r="F49" s="13"/>
      <c r="G49" s="13"/>
      <c r="H49" s="16"/>
      <c r="I49" s="16"/>
      <c r="J49" s="16"/>
      <c r="K49" s="16"/>
      <c r="L49" s="16"/>
      <c r="M49" s="16"/>
      <c r="N49" s="13"/>
      <c r="O49" s="13"/>
      <c r="P49" s="13"/>
      <c r="Q49" s="13"/>
      <c r="R49" s="13"/>
      <c r="S49" s="31"/>
      <c r="T49" s="31"/>
      <c r="U49" s="31"/>
    </row>
    <row r="50" spans="1:21" ht="20.100000000000001" customHeight="1">
      <c r="A50" s="13"/>
      <c r="B50" s="13"/>
      <c r="C50" s="13"/>
      <c r="D50" s="13"/>
      <c r="E50" s="13"/>
      <c r="F50" s="13"/>
      <c r="G50" s="13"/>
      <c r="H50" s="16"/>
      <c r="I50" s="16"/>
      <c r="J50" s="16"/>
      <c r="K50" s="16"/>
      <c r="L50" s="16"/>
      <c r="M50" s="16"/>
      <c r="N50" s="13"/>
      <c r="O50" s="13"/>
      <c r="P50" s="13"/>
      <c r="Q50" s="13"/>
      <c r="R50" s="13"/>
      <c r="S50" s="31"/>
      <c r="T50" s="31"/>
      <c r="U50" s="31"/>
    </row>
    <row r="51" spans="1:21" ht="20.100000000000001" customHeight="1">
      <c r="A51" s="13"/>
      <c r="B51" s="13"/>
      <c r="C51" s="13"/>
      <c r="D51" s="13"/>
      <c r="E51" s="13"/>
      <c r="F51" s="13"/>
      <c r="G51" s="13"/>
      <c r="H51" s="16"/>
      <c r="I51" s="16"/>
      <c r="J51" s="16"/>
      <c r="K51" s="16"/>
      <c r="L51" s="16"/>
      <c r="M51" s="16"/>
      <c r="N51" s="13"/>
      <c r="O51" s="13"/>
      <c r="P51" s="13"/>
      <c r="Q51" s="13"/>
      <c r="R51" s="13"/>
      <c r="S51" s="31"/>
      <c r="T51" s="31"/>
      <c r="U51" s="31"/>
    </row>
    <row r="52" spans="1:21" ht="20.100000000000001" customHeight="1">
      <c r="A52" s="13"/>
      <c r="B52" s="13"/>
      <c r="C52" s="13"/>
      <c r="D52" s="13"/>
      <c r="E52" s="13"/>
      <c r="F52" s="13"/>
      <c r="G52" s="13"/>
      <c r="H52" s="16"/>
      <c r="I52" s="16"/>
      <c r="J52" s="16"/>
      <c r="K52" s="16"/>
      <c r="L52" s="16"/>
      <c r="M52" s="16"/>
      <c r="N52" s="13"/>
      <c r="O52" s="13"/>
      <c r="P52" s="13"/>
      <c r="Q52" s="13"/>
      <c r="R52" s="13"/>
      <c r="S52" s="31"/>
      <c r="T52" s="31"/>
      <c r="U52" s="31"/>
    </row>
    <row r="53" spans="1:21" ht="20.100000000000001" customHeight="1">
      <c r="A53" s="13"/>
      <c r="B53" s="13"/>
      <c r="C53" s="13"/>
      <c r="D53" s="13"/>
      <c r="E53" s="13"/>
      <c r="F53" s="13"/>
      <c r="G53" s="13"/>
      <c r="H53" s="16"/>
      <c r="I53" s="16"/>
      <c r="J53" s="16"/>
      <c r="K53" s="16"/>
      <c r="L53" s="16"/>
      <c r="M53" s="16"/>
      <c r="N53" s="13"/>
      <c r="O53" s="13"/>
      <c r="P53" s="13"/>
      <c r="Q53" s="13"/>
      <c r="R53" s="13"/>
      <c r="S53" s="31"/>
      <c r="T53" s="31"/>
      <c r="U53" s="31"/>
    </row>
    <row r="54" spans="1:21" ht="20.100000000000001" customHeight="1">
      <c r="A54" s="13"/>
      <c r="B54" s="13"/>
      <c r="C54" s="13"/>
      <c r="D54" s="13"/>
      <c r="E54" s="13"/>
      <c r="F54" s="13"/>
      <c r="G54" s="13"/>
      <c r="H54" s="16"/>
      <c r="I54" s="16"/>
      <c r="J54" s="16"/>
      <c r="K54" s="16"/>
      <c r="L54" s="16"/>
      <c r="M54" s="16"/>
      <c r="N54" s="13"/>
      <c r="O54" s="13"/>
      <c r="P54" s="13"/>
      <c r="Q54" s="13"/>
      <c r="R54" s="13"/>
      <c r="S54" s="31"/>
      <c r="T54" s="31"/>
      <c r="U54" s="31"/>
    </row>
    <row r="55" spans="1:21" ht="20.100000000000001" customHeight="1">
      <c r="A55" s="13"/>
      <c r="B55" s="13"/>
      <c r="C55" s="13"/>
      <c r="D55" s="13"/>
      <c r="E55" s="13"/>
      <c r="F55" s="13"/>
      <c r="G55" s="13"/>
      <c r="H55" s="16"/>
      <c r="I55" s="16"/>
      <c r="J55" s="16"/>
      <c r="K55" s="16"/>
      <c r="L55" s="16"/>
      <c r="M55" s="16"/>
      <c r="N55" s="13"/>
      <c r="O55" s="13"/>
      <c r="P55" s="13"/>
      <c r="Q55" s="13"/>
      <c r="R55" s="13"/>
      <c r="S55" s="31"/>
      <c r="T55" s="31"/>
      <c r="U55" s="31"/>
    </row>
    <row r="56" spans="1:21" ht="20.100000000000001" customHeight="1">
      <c r="A56" s="13"/>
      <c r="B56" s="13"/>
      <c r="C56" s="13"/>
      <c r="D56" s="13"/>
      <c r="E56" s="13"/>
      <c r="F56" s="13"/>
      <c r="G56" s="13"/>
      <c r="H56" s="16"/>
      <c r="I56" s="16"/>
      <c r="J56" s="16"/>
      <c r="K56" s="16"/>
      <c r="L56" s="16"/>
      <c r="M56" s="16"/>
      <c r="N56" s="13"/>
      <c r="O56" s="13"/>
      <c r="P56" s="13"/>
      <c r="Q56" s="13"/>
      <c r="R56" s="13"/>
      <c r="S56" s="31"/>
      <c r="T56" s="31"/>
      <c r="U56" s="31"/>
    </row>
    <row r="57" spans="1:21" ht="20.100000000000001" customHeight="1">
      <c r="A57" s="13"/>
      <c r="B57" s="13"/>
      <c r="C57" s="13"/>
      <c r="D57" s="13"/>
      <c r="E57" s="13"/>
      <c r="F57" s="13"/>
      <c r="G57" s="13"/>
      <c r="H57" s="16"/>
      <c r="I57" s="16"/>
      <c r="J57" s="16"/>
      <c r="K57" s="16"/>
      <c r="L57" s="16"/>
      <c r="M57" s="16"/>
      <c r="N57" s="13"/>
      <c r="O57" s="13"/>
      <c r="P57" s="13"/>
      <c r="Q57" s="13"/>
      <c r="R57" s="13"/>
      <c r="S57" s="31"/>
      <c r="T57" s="31"/>
      <c r="U57" s="31"/>
    </row>
    <row r="58" spans="1:21" ht="20.100000000000001" customHeight="1">
      <c r="A58" s="13"/>
      <c r="B58" s="13"/>
      <c r="C58" s="13"/>
      <c r="D58" s="13"/>
      <c r="E58" s="13"/>
      <c r="F58" s="13"/>
      <c r="G58" s="13"/>
      <c r="H58" s="16"/>
      <c r="I58" s="16"/>
      <c r="J58" s="16"/>
      <c r="K58" s="16"/>
      <c r="L58" s="16"/>
      <c r="M58" s="16"/>
      <c r="N58" s="13"/>
      <c r="O58" s="13"/>
      <c r="P58" s="13"/>
      <c r="Q58" s="13"/>
      <c r="R58" s="13"/>
      <c r="S58" s="31"/>
      <c r="T58" s="31"/>
      <c r="U58" s="31"/>
    </row>
    <row r="59" spans="1:21" ht="20.100000000000001" customHeight="1">
      <c r="A59" s="13"/>
      <c r="B59" s="13"/>
      <c r="C59" s="13"/>
      <c r="D59" s="13"/>
      <c r="E59" s="13"/>
      <c r="F59" s="13"/>
      <c r="G59" s="13"/>
      <c r="H59" s="16"/>
      <c r="I59" s="16"/>
      <c r="J59" s="16"/>
      <c r="K59" s="16"/>
      <c r="L59" s="16"/>
      <c r="M59" s="16"/>
      <c r="N59" s="13"/>
      <c r="O59" s="13"/>
      <c r="P59" s="13"/>
      <c r="Q59" s="13"/>
      <c r="R59" s="13"/>
      <c r="S59" s="31"/>
      <c r="T59" s="31"/>
      <c r="U59" s="31"/>
    </row>
    <row r="60" spans="1:21" ht="20.100000000000001" customHeight="1">
      <c r="A60" s="13"/>
      <c r="B60" s="13"/>
      <c r="C60" s="13"/>
      <c r="D60" s="13"/>
      <c r="E60" s="13"/>
      <c r="F60" s="13"/>
      <c r="G60" s="13"/>
      <c r="H60" s="16"/>
      <c r="I60" s="16"/>
      <c r="J60" s="16"/>
      <c r="K60" s="16"/>
      <c r="L60" s="16"/>
      <c r="M60" s="16"/>
      <c r="N60" s="13"/>
      <c r="O60" s="13"/>
      <c r="P60" s="13"/>
      <c r="Q60" s="13"/>
      <c r="R60" s="13"/>
      <c r="S60" s="31"/>
      <c r="T60" s="31"/>
      <c r="U60" s="31"/>
    </row>
    <row r="61" spans="1:21" ht="20.100000000000001" customHeight="1">
      <c r="A61" s="13"/>
      <c r="B61" s="13"/>
      <c r="C61" s="13"/>
      <c r="D61" s="13"/>
      <c r="E61" s="13"/>
      <c r="F61" s="13"/>
      <c r="G61" s="13"/>
      <c r="H61" s="16"/>
      <c r="I61" s="16"/>
      <c r="J61" s="16"/>
      <c r="K61" s="16"/>
      <c r="L61" s="16"/>
      <c r="M61" s="16"/>
      <c r="N61" s="13"/>
      <c r="O61" s="13"/>
      <c r="P61" s="13"/>
      <c r="Q61" s="13"/>
      <c r="R61" s="13"/>
      <c r="S61" s="31"/>
      <c r="T61" s="31"/>
      <c r="U61" s="31"/>
    </row>
    <row r="62" spans="1:21" ht="20.100000000000001" customHeight="1">
      <c r="A62" s="13"/>
      <c r="B62" s="13"/>
      <c r="C62" s="13"/>
      <c r="D62" s="13"/>
      <c r="E62" s="13"/>
      <c r="F62" s="13"/>
      <c r="G62" s="13"/>
      <c r="H62" s="16"/>
      <c r="I62" s="16"/>
      <c r="J62" s="16"/>
      <c r="K62" s="16"/>
      <c r="L62" s="16"/>
      <c r="M62" s="16"/>
      <c r="N62" s="13"/>
      <c r="O62" s="13"/>
      <c r="P62" s="13"/>
      <c r="Q62" s="13"/>
      <c r="R62" s="13"/>
      <c r="S62" s="31"/>
      <c r="T62" s="31"/>
      <c r="U62" s="31"/>
    </row>
    <row r="63" spans="1:21" ht="20.100000000000001" customHeight="1">
      <c r="A63" s="13"/>
      <c r="B63" s="13"/>
      <c r="C63" s="13"/>
      <c r="D63" s="13"/>
      <c r="E63" s="13"/>
      <c r="F63" s="13"/>
      <c r="G63" s="13"/>
      <c r="H63" s="16"/>
      <c r="I63" s="16"/>
      <c r="J63" s="16"/>
      <c r="K63" s="16"/>
      <c r="L63" s="16"/>
      <c r="M63" s="16"/>
      <c r="N63" s="13"/>
      <c r="O63" s="13"/>
      <c r="P63" s="13"/>
      <c r="Q63" s="13"/>
      <c r="R63" s="13"/>
      <c r="S63" s="31"/>
      <c r="T63" s="31"/>
      <c r="U63" s="31"/>
    </row>
    <row r="64" spans="1:21" ht="20.100000000000001" customHeight="1">
      <c r="A64" s="13"/>
      <c r="B64" s="13"/>
      <c r="C64" s="13"/>
      <c r="D64" s="13"/>
      <c r="E64" s="13"/>
      <c r="F64" s="13"/>
      <c r="G64" s="13"/>
      <c r="H64" s="16"/>
      <c r="I64" s="16"/>
      <c r="J64" s="16"/>
      <c r="K64" s="16"/>
      <c r="L64" s="16"/>
      <c r="M64" s="16"/>
      <c r="N64" s="13"/>
      <c r="O64" s="13"/>
      <c r="P64" s="13"/>
      <c r="Q64" s="13"/>
      <c r="R64" s="13"/>
      <c r="S64" s="31"/>
      <c r="T64" s="31"/>
      <c r="U64" s="31"/>
    </row>
    <row r="65" spans="1:21" ht="20.100000000000001" customHeight="1">
      <c r="A65" s="13"/>
      <c r="B65" s="13"/>
      <c r="C65" s="13"/>
      <c r="D65" s="13"/>
      <c r="E65" s="13"/>
      <c r="F65" s="13"/>
      <c r="G65" s="13"/>
      <c r="H65" s="16"/>
      <c r="I65" s="16"/>
      <c r="J65" s="16"/>
      <c r="K65" s="16"/>
      <c r="L65" s="16"/>
      <c r="M65" s="16"/>
      <c r="N65" s="13"/>
      <c r="O65" s="13"/>
      <c r="P65" s="13"/>
      <c r="Q65" s="13"/>
      <c r="R65" s="13"/>
      <c r="S65" s="31"/>
      <c r="T65" s="31"/>
      <c r="U65" s="31"/>
    </row>
    <row r="66" spans="1:21" ht="20.100000000000001" customHeight="1">
      <c r="A66" s="13"/>
      <c r="B66" s="13"/>
      <c r="C66" s="13"/>
      <c r="D66" s="13"/>
      <c r="E66" s="13"/>
      <c r="F66" s="13"/>
      <c r="G66" s="13"/>
      <c r="H66" s="16"/>
      <c r="I66" s="16"/>
      <c r="J66" s="16"/>
      <c r="K66" s="16"/>
      <c r="L66" s="16"/>
      <c r="M66" s="16"/>
      <c r="N66" s="13"/>
      <c r="O66" s="13"/>
      <c r="P66" s="13"/>
      <c r="Q66" s="13"/>
      <c r="R66" s="13"/>
      <c r="S66" s="31"/>
      <c r="T66" s="31"/>
      <c r="U66" s="31"/>
    </row>
    <row r="67" spans="1:21" ht="20.100000000000001" customHeight="1">
      <c r="A67" s="13"/>
      <c r="B67" s="13"/>
      <c r="C67" s="13"/>
      <c r="D67" s="13"/>
      <c r="E67" s="13"/>
      <c r="F67" s="13"/>
      <c r="G67" s="13"/>
      <c r="H67" s="16"/>
      <c r="I67" s="16"/>
      <c r="J67" s="16"/>
      <c r="K67" s="16"/>
      <c r="L67" s="16"/>
      <c r="M67" s="16"/>
      <c r="N67" s="13"/>
      <c r="O67" s="13"/>
      <c r="P67" s="13"/>
      <c r="Q67" s="13"/>
      <c r="R67" s="13"/>
      <c r="S67" s="31"/>
      <c r="T67" s="31"/>
      <c r="U67" s="31"/>
    </row>
    <row r="68" spans="1:21" ht="20.100000000000001" customHeight="1">
      <c r="A68" s="13"/>
      <c r="B68" s="13"/>
      <c r="C68" s="13"/>
      <c r="D68" s="13"/>
      <c r="E68" s="13"/>
      <c r="F68" s="13"/>
      <c r="G68" s="13"/>
      <c r="H68" s="16"/>
      <c r="I68" s="16"/>
      <c r="J68" s="16"/>
      <c r="K68" s="16"/>
      <c r="L68" s="16"/>
      <c r="M68" s="16"/>
      <c r="N68" s="13"/>
      <c r="O68" s="13"/>
      <c r="P68" s="13"/>
      <c r="Q68" s="13"/>
      <c r="R68" s="13"/>
      <c r="S68" s="31"/>
      <c r="T68" s="31"/>
      <c r="U68" s="31"/>
    </row>
    <row r="69" spans="1:21" ht="20.100000000000001" customHeight="1">
      <c r="A69" s="13"/>
      <c r="B69" s="13"/>
      <c r="C69" s="13"/>
      <c r="D69" s="13"/>
      <c r="E69" s="13"/>
      <c r="F69" s="13"/>
      <c r="G69" s="13"/>
      <c r="H69" s="16"/>
      <c r="I69" s="16"/>
      <c r="J69" s="16"/>
      <c r="K69" s="16"/>
      <c r="L69" s="16"/>
      <c r="M69" s="16"/>
      <c r="N69" s="13"/>
      <c r="O69" s="13"/>
      <c r="P69" s="13"/>
      <c r="Q69" s="13"/>
      <c r="R69" s="13"/>
      <c r="S69" s="31"/>
      <c r="T69" s="31"/>
      <c r="U69" s="31"/>
    </row>
    <row r="70" spans="1:21" ht="20.100000000000001" customHeight="1">
      <c r="A70" s="13"/>
      <c r="B70" s="13"/>
      <c r="C70" s="13"/>
      <c r="D70" s="13"/>
      <c r="E70" s="13"/>
      <c r="F70" s="13"/>
      <c r="G70" s="13"/>
      <c r="H70" s="16"/>
      <c r="I70" s="16"/>
      <c r="J70" s="16"/>
      <c r="K70" s="16"/>
      <c r="L70" s="16"/>
      <c r="M70" s="16"/>
      <c r="N70" s="13"/>
      <c r="O70" s="13"/>
      <c r="P70" s="13"/>
      <c r="Q70" s="13"/>
      <c r="R70" s="13"/>
      <c r="S70" s="31"/>
      <c r="T70" s="31"/>
      <c r="U70" s="31"/>
    </row>
    <row r="71" spans="1:21" ht="20.100000000000001" customHeight="1">
      <c r="A71" s="13"/>
      <c r="B71" s="13"/>
      <c r="C71" s="13"/>
      <c r="D71" s="13"/>
      <c r="E71" s="13"/>
      <c r="F71" s="13"/>
      <c r="G71" s="13"/>
      <c r="H71" s="16"/>
      <c r="I71" s="16"/>
      <c r="J71" s="16"/>
      <c r="K71" s="16"/>
      <c r="L71" s="16"/>
      <c r="M71" s="16"/>
      <c r="N71" s="13"/>
      <c r="O71" s="13"/>
      <c r="P71" s="13"/>
      <c r="Q71" s="13"/>
      <c r="R71" s="13"/>
      <c r="S71" s="31"/>
      <c r="T71" s="31"/>
      <c r="U71" s="31"/>
    </row>
    <row r="72" spans="1:21" ht="20.100000000000001" customHeight="1">
      <c r="A72" s="13"/>
      <c r="B72" s="13"/>
      <c r="C72" s="13"/>
      <c r="D72" s="13"/>
      <c r="E72" s="13"/>
      <c r="F72" s="13"/>
      <c r="G72" s="13"/>
      <c r="H72" s="16"/>
      <c r="I72" s="16"/>
      <c r="J72" s="16"/>
      <c r="K72" s="16"/>
      <c r="L72" s="16"/>
      <c r="M72" s="16"/>
      <c r="N72" s="13"/>
      <c r="O72" s="13"/>
      <c r="P72" s="13"/>
      <c r="Q72" s="13"/>
      <c r="R72" s="13"/>
      <c r="S72" s="31"/>
      <c r="T72" s="31"/>
      <c r="U72" s="31"/>
    </row>
    <row r="73" spans="1:21" ht="20.100000000000001" customHeight="1">
      <c r="A73" s="13"/>
      <c r="B73" s="13"/>
      <c r="C73" s="13"/>
      <c r="D73" s="13"/>
      <c r="E73" s="13"/>
      <c r="F73" s="13"/>
      <c r="G73" s="13"/>
      <c r="H73" s="16"/>
      <c r="I73" s="16"/>
      <c r="J73" s="16"/>
      <c r="K73" s="16"/>
      <c r="L73" s="16"/>
      <c r="M73" s="16"/>
      <c r="N73" s="13"/>
      <c r="O73" s="13"/>
      <c r="P73" s="13"/>
      <c r="Q73" s="13"/>
      <c r="R73" s="13"/>
      <c r="S73" s="31"/>
      <c r="T73" s="31"/>
      <c r="U73" s="31"/>
    </row>
    <row r="74" spans="1:21" ht="20.100000000000001" customHeight="1">
      <c r="A74" s="13"/>
      <c r="B74" s="13"/>
      <c r="C74" s="13"/>
      <c r="D74" s="13"/>
      <c r="E74" s="13"/>
      <c r="F74" s="13"/>
      <c r="G74" s="13"/>
      <c r="H74" s="16"/>
      <c r="I74" s="16"/>
      <c r="J74" s="16"/>
      <c r="K74" s="16"/>
      <c r="L74" s="16"/>
      <c r="M74" s="16"/>
      <c r="N74" s="13"/>
      <c r="O74" s="13"/>
      <c r="P74" s="13"/>
      <c r="Q74" s="13"/>
      <c r="R74" s="13"/>
      <c r="S74" s="31"/>
      <c r="T74" s="31"/>
      <c r="U74" s="31"/>
    </row>
    <row r="75" spans="1:21" ht="20.100000000000001" customHeight="1">
      <c r="A75" s="13"/>
      <c r="B75" s="13"/>
      <c r="C75" s="13"/>
      <c r="D75" s="13"/>
      <c r="E75" s="13"/>
      <c r="F75" s="13"/>
      <c r="G75" s="13"/>
      <c r="H75" s="16"/>
      <c r="I75" s="16"/>
      <c r="J75" s="16"/>
      <c r="K75" s="16"/>
      <c r="L75" s="16"/>
      <c r="M75" s="16"/>
      <c r="N75" s="13"/>
      <c r="O75" s="13"/>
      <c r="P75" s="13"/>
      <c r="Q75" s="13"/>
      <c r="R75" s="13"/>
      <c r="S75" s="31"/>
      <c r="T75" s="31"/>
      <c r="U75" s="31"/>
    </row>
    <row r="76" spans="1:21" ht="20.100000000000001" customHeight="1">
      <c r="A76" s="13"/>
      <c r="B76" s="13"/>
      <c r="C76" s="13"/>
      <c r="D76" s="13"/>
      <c r="E76" s="13"/>
      <c r="F76" s="13"/>
      <c r="G76" s="13"/>
      <c r="H76" s="16"/>
      <c r="I76" s="16"/>
      <c r="J76" s="16"/>
      <c r="K76" s="16"/>
      <c r="L76" s="16"/>
      <c r="M76" s="16"/>
      <c r="N76" s="13"/>
      <c r="O76" s="13"/>
      <c r="P76" s="13"/>
      <c r="Q76" s="13"/>
      <c r="R76" s="13"/>
      <c r="S76" s="31"/>
      <c r="T76" s="31"/>
      <c r="U76" s="31"/>
    </row>
    <row r="77" spans="1:21" ht="20.100000000000001" customHeight="1">
      <c r="A77" s="13"/>
      <c r="B77" s="13"/>
      <c r="C77" s="13"/>
      <c r="D77" s="13"/>
      <c r="E77" s="13"/>
      <c r="F77" s="13"/>
      <c r="G77" s="13"/>
      <c r="H77" s="16"/>
      <c r="I77" s="16"/>
      <c r="J77" s="16"/>
      <c r="K77" s="16"/>
      <c r="L77" s="16"/>
      <c r="M77" s="16"/>
      <c r="N77" s="13"/>
      <c r="O77" s="13"/>
      <c r="P77" s="13"/>
      <c r="Q77" s="13"/>
      <c r="R77" s="13"/>
      <c r="S77" s="31"/>
      <c r="T77" s="31"/>
      <c r="U77" s="31"/>
    </row>
    <row r="78" spans="1:21" ht="20.100000000000001" customHeight="1">
      <c r="A78" s="13"/>
      <c r="B78" s="13"/>
      <c r="C78" s="13"/>
      <c r="D78" s="13"/>
      <c r="E78" s="13"/>
      <c r="F78" s="13"/>
      <c r="G78" s="13"/>
      <c r="H78" s="16"/>
      <c r="I78" s="16"/>
      <c r="J78" s="16"/>
      <c r="K78" s="16"/>
      <c r="L78" s="16"/>
      <c r="M78" s="16"/>
      <c r="N78" s="13"/>
      <c r="O78" s="13"/>
      <c r="P78" s="13"/>
      <c r="Q78" s="13"/>
      <c r="R78" s="13"/>
      <c r="S78" s="31"/>
      <c r="T78" s="31"/>
      <c r="U78" s="31"/>
    </row>
    <row r="79" spans="1:21" ht="20.100000000000001" customHeight="1">
      <c r="A79" s="13"/>
      <c r="B79" s="13"/>
      <c r="C79" s="13"/>
      <c r="D79" s="13"/>
      <c r="E79" s="13"/>
      <c r="F79" s="13"/>
      <c r="G79" s="13"/>
      <c r="H79" s="16"/>
      <c r="I79" s="16"/>
      <c r="J79" s="16"/>
      <c r="K79" s="16"/>
      <c r="L79" s="16"/>
      <c r="M79" s="16"/>
      <c r="N79" s="13"/>
      <c r="O79" s="13"/>
      <c r="P79" s="13"/>
      <c r="Q79" s="13"/>
      <c r="R79" s="13"/>
      <c r="S79" s="31"/>
      <c r="T79" s="31"/>
      <c r="U79" s="31"/>
    </row>
    <row r="80" spans="1:21" ht="20.100000000000001" customHeight="1">
      <c r="A80" s="13"/>
      <c r="B80" s="13"/>
      <c r="C80" s="13"/>
      <c r="D80" s="13"/>
      <c r="E80" s="13"/>
      <c r="F80" s="13"/>
      <c r="G80" s="13"/>
      <c r="H80" s="16"/>
      <c r="I80" s="16"/>
      <c r="J80" s="16"/>
      <c r="K80" s="16"/>
      <c r="L80" s="16"/>
      <c r="M80" s="16"/>
      <c r="N80" s="13"/>
      <c r="O80" s="13"/>
      <c r="P80" s="13"/>
      <c r="Q80" s="13"/>
      <c r="R80" s="13"/>
      <c r="S80" s="31"/>
      <c r="T80" s="31"/>
      <c r="U80" s="31"/>
    </row>
    <row r="81" spans="1:21" ht="20.100000000000001" customHeight="1">
      <c r="A81" s="13"/>
      <c r="B81" s="13"/>
      <c r="C81" s="13"/>
      <c r="D81" s="13"/>
      <c r="E81" s="13"/>
      <c r="F81" s="13"/>
      <c r="G81" s="13"/>
      <c r="H81" s="16"/>
      <c r="I81" s="16"/>
      <c r="J81" s="16"/>
      <c r="K81" s="16"/>
      <c r="L81" s="16"/>
      <c r="M81" s="16"/>
      <c r="N81" s="13"/>
      <c r="O81" s="13"/>
      <c r="P81" s="13"/>
      <c r="Q81" s="13"/>
      <c r="R81" s="13"/>
      <c r="S81" s="31"/>
      <c r="T81" s="31"/>
      <c r="U81" s="31"/>
    </row>
    <row r="82" spans="1:21" ht="20.100000000000001" customHeight="1">
      <c r="A82" s="13"/>
      <c r="B82" s="13"/>
      <c r="C82" s="13"/>
      <c r="D82" s="13"/>
      <c r="E82" s="13"/>
      <c r="F82" s="13"/>
      <c r="G82" s="13"/>
      <c r="H82" s="16"/>
      <c r="I82" s="16"/>
      <c r="J82" s="16"/>
      <c r="K82" s="16"/>
      <c r="L82" s="16"/>
      <c r="M82" s="16"/>
      <c r="N82" s="13"/>
      <c r="O82" s="13"/>
      <c r="P82" s="13"/>
      <c r="Q82" s="13"/>
      <c r="R82" s="13"/>
      <c r="S82" s="31"/>
      <c r="T82" s="31"/>
      <c r="U82" s="31"/>
    </row>
    <row r="83" spans="1:21" ht="20.100000000000001" customHeight="1">
      <c r="A83" s="13"/>
      <c r="B83" s="13"/>
      <c r="C83" s="13"/>
      <c r="D83" s="13"/>
      <c r="E83" s="13"/>
      <c r="F83" s="13"/>
      <c r="G83" s="13"/>
      <c r="H83" s="16"/>
      <c r="I83" s="16"/>
      <c r="J83" s="16"/>
      <c r="K83" s="16"/>
      <c r="L83" s="16"/>
      <c r="M83" s="16"/>
      <c r="N83" s="13"/>
      <c r="O83" s="13"/>
      <c r="P83" s="13"/>
      <c r="Q83" s="13"/>
      <c r="R83" s="13"/>
      <c r="S83" s="31"/>
      <c r="T83" s="31"/>
      <c r="U83" s="31"/>
    </row>
    <row r="84" spans="1:21" ht="20.100000000000001" customHeight="1">
      <c r="A84" s="13"/>
      <c r="B84" s="13"/>
      <c r="C84" s="13"/>
      <c r="D84" s="13"/>
      <c r="E84" s="13"/>
      <c r="F84" s="13"/>
      <c r="G84" s="13"/>
      <c r="H84" s="16"/>
      <c r="I84" s="16"/>
      <c r="J84" s="16"/>
      <c r="K84" s="16"/>
      <c r="L84" s="16"/>
      <c r="M84" s="16"/>
      <c r="N84" s="13"/>
      <c r="O84" s="13"/>
      <c r="P84" s="13"/>
      <c r="Q84" s="13"/>
      <c r="R84" s="13"/>
      <c r="S84" s="31"/>
      <c r="T84" s="31"/>
      <c r="U84" s="31"/>
    </row>
    <row r="85" spans="1:21" ht="20.100000000000001" customHeight="1">
      <c r="A85" s="13"/>
      <c r="B85" s="13"/>
      <c r="C85" s="13"/>
      <c r="D85" s="13"/>
      <c r="E85" s="13"/>
      <c r="F85" s="13"/>
      <c r="G85" s="13"/>
      <c r="H85" s="16"/>
      <c r="I85" s="16"/>
      <c r="J85" s="16"/>
      <c r="K85" s="16"/>
      <c r="L85" s="16"/>
      <c r="M85" s="16"/>
      <c r="N85" s="13"/>
      <c r="O85" s="13"/>
      <c r="P85" s="13"/>
      <c r="Q85" s="13"/>
      <c r="R85" s="13"/>
      <c r="S85" s="31"/>
      <c r="T85" s="31"/>
      <c r="U85" s="31"/>
    </row>
    <row r="86" spans="1:21" ht="20.100000000000001" customHeight="1">
      <c r="A86" s="13"/>
      <c r="B86" s="13"/>
      <c r="C86" s="13"/>
      <c r="D86" s="13"/>
      <c r="E86" s="13"/>
      <c r="F86" s="13"/>
      <c r="G86" s="13"/>
      <c r="H86" s="16"/>
      <c r="I86" s="16"/>
      <c r="J86" s="16"/>
      <c r="K86" s="16"/>
      <c r="L86" s="16"/>
      <c r="M86" s="16"/>
      <c r="N86" s="13"/>
      <c r="O86" s="13"/>
      <c r="P86" s="13"/>
      <c r="Q86" s="13"/>
      <c r="R86" s="13"/>
      <c r="S86" s="31"/>
      <c r="T86" s="31"/>
      <c r="U86" s="31"/>
    </row>
    <row r="87" spans="1:21" ht="20.100000000000001" customHeight="1">
      <c r="A87" s="13"/>
      <c r="B87" s="13"/>
      <c r="C87" s="13"/>
      <c r="D87" s="13"/>
      <c r="E87" s="13"/>
      <c r="F87" s="13"/>
      <c r="G87" s="13"/>
      <c r="H87" s="16"/>
      <c r="I87" s="16"/>
      <c r="J87" s="16"/>
      <c r="K87" s="16"/>
      <c r="L87" s="16"/>
      <c r="M87" s="16"/>
      <c r="N87" s="13"/>
      <c r="O87" s="13"/>
      <c r="P87" s="13"/>
      <c r="Q87" s="13"/>
      <c r="R87" s="13"/>
      <c r="S87" s="31"/>
      <c r="T87" s="31"/>
      <c r="U87" s="31"/>
    </row>
    <row r="88" spans="1:21" ht="20.100000000000001" customHeight="1">
      <c r="A88" s="13"/>
      <c r="B88" s="13"/>
      <c r="C88" s="13"/>
      <c r="D88" s="13"/>
      <c r="E88" s="13"/>
      <c r="F88" s="13"/>
      <c r="G88" s="13"/>
      <c r="H88" s="16"/>
      <c r="I88" s="16"/>
      <c r="J88" s="16"/>
      <c r="K88" s="16"/>
      <c r="L88" s="16"/>
      <c r="M88" s="16"/>
      <c r="N88" s="13"/>
      <c r="O88" s="13"/>
      <c r="P88" s="13"/>
      <c r="Q88" s="13"/>
      <c r="R88" s="13"/>
      <c r="S88" s="31"/>
      <c r="T88" s="31"/>
      <c r="U88" s="31"/>
    </row>
    <row r="89" spans="1:21" ht="20.100000000000001" customHeight="1">
      <c r="A89" s="13"/>
      <c r="B89" s="13"/>
      <c r="C89" s="13"/>
      <c r="D89" s="13"/>
      <c r="E89" s="13"/>
      <c r="F89" s="13"/>
      <c r="G89" s="13"/>
      <c r="H89" s="16"/>
      <c r="I89" s="16"/>
      <c r="J89" s="16"/>
      <c r="K89" s="16"/>
      <c r="L89" s="16"/>
      <c r="M89" s="16"/>
      <c r="N89" s="13"/>
      <c r="O89" s="13"/>
      <c r="P89" s="13"/>
      <c r="Q89" s="13"/>
      <c r="R89" s="13"/>
      <c r="S89" s="31"/>
      <c r="T89" s="31"/>
      <c r="U89" s="31"/>
    </row>
    <row r="90" spans="1:21" ht="20.100000000000001" customHeight="1">
      <c r="A90" s="13"/>
      <c r="B90" s="13"/>
      <c r="C90" s="13"/>
      <c r="D90" s="13"/>
      <c r="E90" s="13"/>
      <c r="F90" s="13"/>
      <c r="G90" s="13"/>
      <c r="H90" s="16"/>
      <c r="I90" s="16"/>
      <c r="J90" s="16"/>
      <c r="K90" s="16"/>
      <c r="L90" s="16"/>
      <c r="M90" s="16"/>
      <c r="N90" s="13"/>
      <c r="O90" s="13"/>
      <c r="P90" s="13"/>
      <c r="Q90" s="13"/>
      <c r="R90" s="13"/>
      <c r="S90" s="31"/>
      <c r="T90" s="31"/>
      <c r="U90" s="31"/>
    </row>
    <row r="91" spans="1:21" ht="20.100000000000001" customHeight="1">
      <c r="A91" s="13"/>
      <c r="B91" s="13"/>
      <c r="C91" s="13"/>
      <c r="D91" s="13"/>
      <c r="E91" s="13"/>
      <c r="F91" s="13"/>
      <c r="G91" s="13"/>
      <c r="H91" s="16"/>
      <c r="I91" s="16"/>
      <c r="J91" s="16"/>
      <c r="K91" s="16"/>
      <c r="L91" s="16"/>
      <c r="M91" s="16"/>
      <c r="N91" s="13"/>
      <c r="O91" s="13"/>
      <c r="P91" s="13"/>
      <c r="Q91" s="13"/>
      <c r="R91" s="13"/>
      <c r="S91" s="31"/>
      <c r="T91" s="31"/>
      <c r="U91" s="31"/>
    </row>
    <row r="92" spans="1:21" ht="20.100000000000001" customHeight="1">
      <c r="A92" s="13"/>
      <c r="B92" s="13"/>
      <c r="C92" s="13"/>
      <c r="D92" s="13"/>
      <c r="E92" s="13"/>
      <c r="F92" s="13"/>
      <c r="G92" s="13"/>
      <c r="H92" s="16"/>
      <c r="I92" s="16"/>
      <c r="J92" s="16"/>
      <c r="K92" s="16"/>
      <c r="L92" s="16"/>
      <c r="M92" s="16"/>
      <c r="N92" s="13"/>
      <c r="O92" s="13"/>
      <c r="P92" s="13"/>
      <c r="Q92" s="13"/>
      <c r="R92" s="13"/>
      <c r="S92" s="31"/>
      <c r="T92" s="31"/>
      <c r="U92" s="31"/>
    </row>
    <row r="93" spans="1:21" ht="20.100000000000001" customHeight="1">
      <c r="A93" s="13"/>
      <c r="B93" s="13"/>
      <c r="C93" s="13"/>
      <c r="D93" s="13"/>
      <c r="E93" s="13"/>
      <c r="F93" s="13"/>
      <c r="G93" s="13"/>
      <c r="H93" s="16"/>
      <c r="I93" s="16"/>
      <c r="J93" s="16"/>
      <c r="K93" s="16"/>
      <c r="L93" s="16"/>
      <c r="M93" s="16"/>
      <c r="N93" s="13"/>
      <c r="O93" s="13"/>
      <c r="P93" s="13"/>
      <c r="Q93" s="13"/>
      <c r="R93" s="13"/>
      <c r="S93" s="31"/>
      <c r="T93" s="31"/>
      <c r="U93" s="31"/>
    </row>
    <row r="94" spans="1:21" ht="20.100000000000001" customHeight="1">
      <c r="A94" s="13"/>
      <c r="B94" s="13"/>
      <c r="C94" s="13"/>
      <c r="D94" s="13"/>
      <c r="E94" s="13"/>
      <c r="F94" s="13"/>
      <c r="G94" s="13"/>
      <c r="H94" s="16"/>
      <c r="I94" s="16"/>
      <c r="J94" s="16"/>
      <c r="K94" s="16"/>
      <c r="L94" s="16"/>
      <c r="M94" s="16"/>
      <c r="N94" s="13"/>
      <c r="O94" s="13"/>
      <c r="P94" s="13"/>
      <c r="Q94" s="13"/>
      <c r="R94" s="13"/>
      <c r="S94" s="31"/>
      <c r="T94" s="31"/>
      <c r="U94" s="31"/>
    </row>
    <row r="95" spans="1:21" ht="20.100000000000001" customHeight="1">
      <c r="A95" s="13"/>
      <c r="B95" s="13"/>
      <c r="C95" s="13"/>
      <c r="D95" s="13"/>
      <c r="E95" s="13"/>
      <c r="F95" s="13"/>
      <c r="G95" s="13"/>
      <c r="H95" s="16"/>
      <c r="I95" s="16"/>
      <c r="J95" s="16"/>
      <c r="K95" s="16"/>
      <c r="L95" s="16"/>
      <c r="M95" s="16"/>
      <c r="N95" s="13"/>
      <c r="O95" s="13"/>
      <c r="P95" s="13"/>
      <c r="Q95" s="13"/>
      <c r="R95" s="13"/>
      <c r="S95" s="31"/>
      <c r="T95" s="31"/>
      <c r="U95" s="31"/>
    </row>
    <row r="96" spans="1:21" ht="20.100000000000001" customHeight="1">
      <c r="A96" s="13"/>
      <c r="B96" s="13"/>
      <c r="C96" s="13"/>
      <c r="D96" s="13"/>
      <c r="E96" s="13"/>
      <c r="F96" s="13"/>
      <c r="G96" s="13"/>
      <c r="H96" s="16"/>
      <c r="I96" s="16"/>
      <c r="J96" s="16"/>
      <c r="K96" s="16"/>
      <c r="L96" s="16"/>
      <c r="M96" s="16"/>
      <c r="N96" s="13"/>
      <c r="O96" s="13"/>
      <c r="P96" s="13"/>
      <c r="Q96" s="13"/>
      <c r="R96" s="13"/>
      <c r="S96" s="31"/>
      <c r="T96" s="31"/>
      <c r="U96" s="31"/>
    </row>
    <row r="97" spans="1:21" ht="20.100000000000001" customHeight="1">
      <c r="A97" s="13"/>
      <c r="B97" s="13"/>
      <c r="C97" s="13"/>
      <c r="D97" s="13"/>
      <c r="E97" s="13"/>
      <c r="F97" s="13"/>
      <c r="G97" s="13"/>
      <c r="H97" s="16"/>
      <c r="I97" s="16"/>
      <c r="J97" s="16"/>
      <c r="K97" s="16"/>
      <c r="L97" s="16"/>
      <c r="M97" s="16"/>
      <c r="N97" s="13"/>
      <c r="O97" s="13"/>
      <c r="P97" s="13"/>
      <c r="Q97" s="13"/>
      <c r="R97" s="13"/>
      <c r="S97" s="31"/>
      <c r="T97" s="31"/>
      <c r="U97" s="31"/>
    </row>
    <row r="98" spans="1:21" ht="20.100000000000001" customHeight="1">
      <c r="A98" s="13"/>
      <c r="B98" s="13"/>
      <c r="C98" s="13"/>
      <c r="D98" s="13"/>
      <c r="E98" s="13"/>
      <c r="F98" s="13"/>
      <c r="G98" s="13"/>
      <c r="H98" s="16"/>
      <c r="I98" s="16"/>
      <c r="J98" s="16"/>
      <c r="K98" s="16"/>
      <c r="L98" s="16"/>
      <c r="M98" s="16"/>
      <c r="N98" s="13"/>
      <c r="O98" s="13"/>
      <c r="P98" s="13"/>
      <c r="Q98" s="13"/>
      <c r="R98" s="13"/>
      <c r="S98" s="31"/>
      <c r="T98" s="31"/>
      <c r="U98" s="31"/>
    </row>
    <row r="99" spans="1:21" ht="20.100000000000001" customHeight="1">
      <c r="A99" s="13"/>
      <c r="B99" s="13"/>
      <c r="C99" s="13"/>
      <c r="D99" s="13"/>
      <c r="E99" s="13"/>
      <c r="F99" s="13"/>
      <c r="G99" s="13"/>
      <c r="H99" s="16"/>
      <c r="I99" s="16"/>
      <c r="J99" s="16"/>
      <c r="K99" s="16"/>
      <c r="L99" s="16"/>
      <c r="M99" s="16"/>
      <c r="N99" s="13"/>
      <c r="O99" s="13"/>
      <c r="P99" s="13"/>
      <c r="Q99" s="13"/>
      <c r="R99" s="13"/>
      <c r="S99" s="31"/>
      <c r="T99" s="31"/>
      <c r="U99" s="31"/>
    </row>
    <row r="100" spans="1:21" ht="20.100000000000001" customHeight="1">
      <c r="A100" s="13"/>
      <c r="B100" s="13"/>
      <c r="C100" s="13"/>
      <c r="D100" s="13"/>
      <c r="E100" s="13"/>
      <c r="F100" s="13"/>
      <c r="G100" s="13"/>
      <c r="H100" s="16"/>
      <c r="I100" s="16"/>
      <c r="J100" s="16"/>
      <c r="K100" s="16"/>
      <c r="L100" s="16"/>
      <c r="M100" s="16"/>
      <c r="N100" s="13"/>
      <c r="O100" s="13"/>
      <c r="P100" s="13"/>
      <c r="Q100" s="13"/>
      <c r="R100" s="13"/>
      <c r="S100" s="31"/>
      <c r="T100" s="31"/>
      <c r="U100" s="31"/>
    </row>
    <row r="101" spans="1:21" ht="20.100000000000001" customHeight="1">
      <c r="A101" s="13"/>
      <c r="B101" s="13"/>
      <c r="C101" s="13"/>
      <c r="D101" s="13"/>
      <c r="E101" s="13"/>
      <c r="F101" s="13"/>
      <c r="G101" s="13"/>
      <c r="H101" s="16"/>
      <c r="I101" s="16"/>
      <c r="J101" s="16"/>
      <c r="K101" s="16"/>
      <c r="L101" s="16"/>
      <c r="M101" s="16"/>
      <c r="N101" s="13"/>
      <c r="O101" s="13"/>
      <c r="P101" s="13"/>
      <c r="Q101" s="13"/>
      <c r="R101" s="13"/>
      <c r="S101" s="31"/>
      <c r="T101" s="31"/>
      <c r="U101" s="31"/>
    </row>
    <row r="102" spans="1:21" ht="20.100000000000001" customHeight="1">
      <c r="A102" s="13"/>
      <c r="B102" s="13"/>
      <c r="C102" s="13"/>
      <c r="D102" s="13"/>
      <c r="E102" s="13"/>
      <c r="F102" s="13"/>
      <c r="G102" s="13"/>
      <c r="H102" s="16"/>
      <c r="I102" s="16"/>
      <c r="J102" s="16"/>
      <c r="K102" s="16"/>
      <c r="L102" s="16"/>
      <c r="M102" s="16"/>
      <c r="N102" s="13"/>
      <c r="O102" s="13"/>
      <c r="P102" s="13"/>
      <c r="Q102" s="13"/>
      <c r="R102" s="13"/>
      <c r="S102" s="31"/>
      <c r="T102" s="31"/>
      <c r="U102" s="31"/>
    </row>
    <row r="103" spans="1:21" ht="20.100000000000001" customHeight="1">
      <c r="A103" s="13"/>
      <c r="B103" s="13"/>
      <c r="C103" s="13"/>
      <c r="D103" s="13"/>
      <c r="E103" s="13"/>
      <c r="F103" s="13"/>
      <c r="G103" s="13"/>
      <c r="H103" s="16"/>
      <c r="I103" s="16"/>
      <c r="J103" s="16"/>
      <c r="K103" s="16"/>
      <c r="L103" s="16"/>
      <c r="M103" s="16"/>
      <c r="N103" s="13"/>
      <c r="O103" s="13"/>
      <c r="P103" s="13"/>
      <c r="Q103" s="13"/>
      <c r="R103" s="13"/>
      <c r="S103" s="31"/>
      <c r="T103" s="31"/>
      <c r="U103" s="31"/>
    </row>
    <row r="104" spans="1:21" ht="20.100000000000001" customHeight="1">
      <c r="A104" s="13"/>
      <c r="B104" s="13"/>
      <c r="C104" s="13"/>
      <c r="D104" s="13"/>
      <c r="E104" s="13"/>
      <c r="F104" s="13"/>
      <c r="G104" s="13"/>
      <c r="H104" s="16"/>
      <c r="I104" s="16"/>
      <c r="J104" s="16"/>
      <c r="K104" s="16"/>
      <c r="L104" s="16"/>
      <c r="M104" s="16"/>
      <c r="N104" s="13"/>
      <c r="O104" s="13"/>
      <c r="P104" s="13"/>
      <c r="Q104" s="13"/>
      <c r="R104" s="13"/>
      <c r="S104" s="31"/>
      <c r="T104" s="31"/>
      <c r="U104" s="31"/>
    </row>
    <row r="105" spans="1:21" ht="20.100000000000001" customHeight="1">
      <c r="A105" s="13"/>
      <c r="B105" s="13"/>
      <c r="C105" s="13"/>
      <c r="D105" s="13"/>
      <c r="E105" s="13"/>
      <c r="F105" s="13"/>
      <c r="G105" s="13"/>
      <c r="H105" s="16"/>
      <c r="I105" s="16"/>
      <c r="J105" s="16"/>
      <c r="K105" s="16"/>
      <c r="L105" s="16"/>
      <c r="M105" s="16"/>
      <c r="N105" s="13"/>
      <c r="O105" s="13"/>
      <c r="P105" s="13"/>
      <c r="Q105" s="13"/>
      <c r="R105" s="13"/>
      <c r="S105" s="31"/>
      <c r="T105" s="31"/>
      <c r="U105" s="31"/>
    </row>
    <row r="106" spans="1:21" ht="20.100000000000001" customHeight="1">
      <c r="A106" s="13"/>
      <c r="B106" s="13"/>
      <c r="C106" s="13"/>
      <c r="D106" s="13"/>
      <c r="E106" s="13"/>
      <c r="F106" s="13"/>
      <c r="G106" s="13"/>
      <c r="H106" s="16"/>
      <c r="I106" s="16"/>
      <c r="J106" s="16"/>
      <c r="K106" s="16"/>
      <c r="L106" s="16"/>
      <c r="M106" s="16"/>
      <c r="N106" s="13"/>
      <c r="O106" s="13"/>
      <c r="P106" s="13"/>
      <c r="Q106" s="13"/>
      <c r="R106" s="13"/>
      <c r="S106" s="31"/>
      <c r="T106" s="31"/>
      <c r="U106" s="31"/>
    </row>
    <row r="107" spans="1:21" ht="20.100000000000001" customHeight="1">
      <c r="A107" s="13"/>
      <c r="B107" s="13"/>
      <c r="C107" s="13"/>
      <c r="D107" s="13"/>
      <c r="E107" s="13"/>
      <c r="F107" s="13"/>
      <c r="G107" s="13"/>
      <c r="H107" s="16"/>
      <c r="I107" s="16"/>
      <c r="J107" s="16"/>
      <c r="K107" s="16"/>
      <c r="L107" s="16"/>
      <c r="M107" s="16"/>
      <c r="N107" s="13"/>
      <c r="O107" s="13"/>
      <c r="P107" s="13"/>
      <c r="Q107" s="13"/>
      <c r="R107" s="13"/>
      <c r="S107" s="31"/>
      <c r="T107" s="31"/>
      <c r="U107" s="31"/>
    </row>
    <row r="108" spans="1:21" ht="20.100000000000001" customHeight="1">
      <c r="A108" s="13"/>
      <c r="B108" s="13"/>
      <c r="C108" s="13"/>
      <c r="D108" s="13"/>
      <c r="E108" s="13"/>
      <c r="F108" s="13"/>
      <c r="G108" s="13"/>
      <c r="H108" s="16"/>
      <c r="I108" s="16"/>
      <c r="J108" s="16"/>
      <c r="K108" s="16"/>
      <c r="L108" s="16"/>
      <c r="M108" s="16"/>
      <c r="N108" s="13"/>
      <c r="O108" s="13"/>
      <c r="P108" s="13"/>
      <c r="Q108" s="13"/>
      <c r="R108" s="13"/>
      <c r="S108" s="31"/>
      <c r="T108" s="31"/>
      <c r="U108" s="31"/>
    </row>
    <row r="109" spans="1:21" ht="20.100000000000001" customHeight="1">
      <c r="A109" s="13"/>
      <c r="B109" s="13"/>
      <c r="C109" s="13"/>
      <c r="D109" s="13"/>
      <c r="E109" s="13"/>
      <c r="F109" s="13"/>
      <c r="G109" s="13"/>
      <c r="H109" s="16"/>
      <c r="I109" s="16"/>
      <c r="J109" s="16"/>
      <c r="K109" s="16"/>
      <c r="L109" s="16"/>
      <c r="M109" s="16"/>
      <c r="N109" s="13"/>
      <c r="O109" s="13"/>
      <c r="P109" s="13"/>
      <c r="Q109" s="13"/>
      <c r="R109" s="13"/>
      <c r="S109" s="31"/>
      <c r="T109" s="31"/>
      <c r="U109" s="31"/>
    </row>
    <row r="110" spans="1:21" ht="20.100000000000001" customHeight="1">
      <c r="A110" s="13"/>
      <c r="B110" s="13"/>
      <c r="C110" s="13"/>
      <c r="D110" s="13"/>
      <c r="E110" s="13"/>
      <c r="F110" s="13"/>
      <c r="G110" s="13"/>
      <c r="H110" s="16"/>
      <c r="I110" s="16"/>
      <c r="J110" s="16"/>
      <c r="K110" s="16"/>
      <c r="L110" s="16"/>
      <c r="M110" s="16"/>
      <c r="N110" s="13"/>
      <c r="O110" s="13"/>
      <c r="P110" s="13"/>
      <c r="Q110" s="13"/>
      <c r="R110" s="13"/>
      <c r="S110" s="31"/>
      <c r="T110" s="31"/>
      <c r="U110" s="31"/>
    </row>
    <row r="111" spans="1:21" ht="20.100000000000001" customHeight="1">
      <c r="A111" s="13"/>
      <c r="B111" s="13"/>
      <c r="C111" s="13"/>
      <c r="D111" s="13"/>
      <c r="E111" s="13"/>
      <c r="F111" s="13"/>
      <c r="G111" s="13"/>
      <c r="H111" s="16"/>
      <c r="I111" s="16"/>
      <c r="J111" s="16"/>
      <c r="K111" s="16"/>
      <c r="L111" s="16"/>
      <c r="M111" s="16"/>
      <c r="N111" s="13"/>
      <c r="O111" s="13"/>
      <c r="P111" s="13"/>
      <c r="Q111" s="13"/>
      <c r="R111" s="13"/>
      <c r="S111" s="31"/>
      <c r="T111" s="31"/>
      <c r="U111" s="31"/>
    </row>
    <row r="112" spans="1:21" ht="20.100000000000001" customHeight="1">
      <c r="A112" s="13"/>
      <c r="B112" s="13"/>
      <c r="C112" s="13"/>
      <c r="D112" s="13"/>
      <c r="E112" s="13"/>
      <c r="F112" s="13"/>
      <c r="G112" s="13"/>
      <c r="H112" s="16"/>
      <c r="I112" s="16"/>
      <c r="J112" s="16"/>
      <c r="K112" s="16"/>
      <c r="L112" s="16"/>
      <c r="M112" s="16"/>
      <c r="N112" s="13"/>
      <c r="O112" s="13"/>
      <c r="P112" s="13"/>
      <c r="Q112" s="13"/>
      <c r="R112" s="13"/>
      <c r="S112" s="31"/>
      <c r="T112" s="31"/>
      <c r="U112" s="31"/>
    </row>
    <row r="113" spans="1:21" ht="20.100000000000001" customHeight="1">
      <c r="A113" s="13"/>
      <c r="B113" s="13"/>
      <c r="C113" s="13"/>
      <c r="D113" s="13"/>
      <c r="E113" s="13"/>
      <c r="F113" s="13"/>
      <c r="G113" s="13"/>
      <c r="H113" s="16"/>
      <c r="I113" s="16"/>
      <c r="J113" s="16"/>
      <c r="K113" s="16"/>
      <c r="L113" s="16"/>
      <c r="M113" s="16"/>
      <c r="N113" s="13"/>
      <c r="O113" s="13"/>
      <c r="P113" s="13"/>
      <c r="Q113" s="13"/>
      <c r="R113" s="13"/>
      <c r="S113" s="31"/>
      <c r="T113" s="31"/>
      <c r="U113" s="31"/>
    </row>
    <row r="114" spans="1:21" ht="20.100000000000001" customHeight="1">
      <c r="A114" s="13"/>
      <c r="B114" s="13"/>
      <c r="C114" s="13"/>
      <c r="D114" s="13"/>
      <c r="E114" s="13"/>
      <c r="F114" s="13"/>
      <c r="G114" s="13"/>
      <c r="H114" s="16"/>
      <c r="I114" s="16"/>
      <c r="J114" s="16"/>
      <c r="K114" s="16"/>
      <c r="L114" s="16"/>
      <c r="M114" s="16"/>
      <c r="N114" s="13"/>
      <c r="O114" s="13"/>
      <c r="P114" s="13"/>
      <c r="Q114" s="13"/>
      <c r="R114" s="13"/>
      <c r="S114" s="31"/>
      <c r="T114" s="31"/>
      <c r="U114" s="31"/>
    </row>
    <row r="115" spans="1:21" ht="20.100000000000001" customHeight="1">
      <c r="A115" s="13"/>
      <c r="B115" s="13"/>
      <c r="C115" s="13"/>
      <c r="D115" s="13"/>
      <c r="E115" s="13"/>
      <c r="F115" s="13"/>
      <c r="G115" s="13"/>
      <c r="H115" s="16"/>
      <c r="I115" s="16"/>
      <c r="J115" s="16"/>
      <c r="K115" s="16"/>
      <c r="L115" s="16"/>
      <c r="M115" s="16"/>
      <c r="N115" s="13"/>
      <c r="O115" s="13"/>
      <c r="P115" s="13"/>
      <c r="Q115" s="13"/>
      <c r="R115" s="13"/>
      <c r="S115" s="31"/>
      <c r="T115" s="31"/>
      <c r="U115" s="31"/>
    </row>
    <row r="116" spans="1:21" ht="20.100000000000001" customHeight="1">
      <c r="A116" s="13"/>
      <c r="B116" s="13"/>
      <c r="C116" s="13"/>
      <c r="D116" s="13"/>
      <c r="E116" s="13"/>
      <c r="F116" s="13"/>
      <c r="G116" s="13"/>
      <c r="H116" s="16"/>
      <c r="I116" s="16"/>
      <c r="J116" s="16"/>
      <c r="K116" s="16"/>
      <c r="L116" s="16"/>
      <c r="M116" s="16"/>
      <c r="N116" s="13"/>
      <c r="O116" s="13"/>
      <c r="P116" s="13"/>
      <c r="Q116" s="13"/>
      <c r="R116" s="13"/>
      <c r="S116" s="31"/>
      <c r="T116" s="31"/>
      <c r="U116" s="31"/>
    </row>
    <row r="117" spans="1:21" ht="20.100000000000001" customHeight="1">
      <c r="A117" s="13"/>
      <c r="B117" s="13"/>
      <c r="C117" s="13"/>
      <c r="D117" s="13"/>
      <c r="E117" s="13"/>
      <c r="F117" s="13"/>
      <c r="G117" s="13"/>
      <c r="H117" s="16"/>
      <c r="I117" s="16"/>
      <c r="J117" s="16"/>
      <c r="K117" s="16"/>
      <c r="L117" s="16"/>
      <c r="M117" s="16"/>
      <c r="N117" s="13"/>
      <c r="O117" s="13"/>
      <c r="P117" s="13"/>
      <c r="Q117" s="13"/>
      <c r="R117" s="13"/>
      <c r="S117" s="31"/>
      <c r="T117" s="31"/>
      <c r="U117" s="31"/>
    </row>
    <row r="118" spans="1:21" ht="20.100000000000001" customHeight="1">
      <c r="A118" s="13"/>
      <c r="B118" s="13"/>
      <c r="C118" s="13"/>
      <c r="D118" s="13"/>
      <c r="E118" s="13"/>
      <c r="F118" s="13"/>
      <c r="G118" s="13"/>
      <c r="H118" s="16"/>
      <c r="I118" s="16"/>
      <c r="J118" s="16"/>
      <c r="K118" s="16"/>
      <c r="L118" s="16"/>
      <c r="M118" s="16"/>
      <c r="N118" s="13"/>
      <c r="O118" s="13"/>
      <c r="P118" s="13"/>
      <c r="Q118" s="13"/>
      <c r="R118" s="13"/>
      <c r="S118" s="31"/>
      <c r="T118" s="31"/>
      <c r="U118" s="31"/>
    </row>
    <row r="119" spans="1:21" ht="20.100000000000001" customHeight="1">
      <c r="A119" s="13"/>
      <c r="B119" s="13"/>
      <c r="C119" s="13"/>
      <c r="D119" s="13"/>
      <c r="E119" s="13"/>
      <c r="F119" s="13"/>
      <c r="G119" s="13"/>
      <c r="H119" s="16"/>
      <c r="I119" s="16"/>
      <c r="J119" s="16"/>
      <c r="K119" s="16"/>
      <c r="L119" s="16"/>
      <c r="M119" s="16"/>
      <c r="N119" s="13"/>
      <c r="O119" s="13"/>
      <c r="P119" s="13"/>
      <c r="Q119" s="13"/>
      <c r="R119" s="13"/>
      <c r="S119" s="31"/>
      <c r="T119" s="31"/>
      <c r="U119" s="31"/>
    </row>
    <row r="120" spans="1:21" ht="20.100000000000001" customHeight="1">
      <c r="A120" s="13"/>
      <c r="B120" s="13"/>
      <c r="C120" s="13"/>
      <c r="D120" s="13"/>
      <c r="E120" s="13"/>
      <c r="F120" s="13"/>
      <c r="G120" s="13"/>
      <c r="H120" s="16"/>
      <c r="I120" s="16"/>
      <c r="J120" s="16"/>
      <c r="K120" s="16"/>
      <c r="L120" s="16"/>
      <c r="M120" s="16"/>
      <c r="N120" s="13"/>
      <c r="O120" s="13"/>
      <c r="P120" s="13"/>
      <c r="Q120" s="13"/>
      <c r="R120" s="13"/>
      <c r="S120" s="31"/>
      <c r="T120" s="31"/>
      <c r="U120" s="31"/>
    </row>
    <row r="121" spans="1:21" ht="20.100000000000001" customHeight="1">
      <c r="A121" s="13"/>
      <c r="B121" s="13"/>
      <c r="C121" s="13"/>
      <c r="D121" s="13"/>
      <c r="E121" s="13"/>
      <c r="F121" s="13"/>
      <c r="G121" s="13"/>
      <c r="H121" s="16"/>
      <c r="I121" s="16"/>
      <c r="J121" s="16"/>
      <c r="K121" s="16"/>
      <c r="L121" s="16"/>
      <c r="M121" s="16"/>
      <c r="N121" s="13"/>
      <c r="O121" s="13"/>
      <c r="P121" s="13"/>
      <c r="Q121" s="13"/>
      <c r="R121" s="13"/>
      <c r="S121" s="31"/>
      <c r="T121" s="31"/>
      <c r="U121" s="31"/>
    </row>
    <row r="122" spans="1:21" ht="20.100000000000001" customHeight="1">
      <c r="A122" s="13"/>
      <c r="B122" s="13"/>
      <c r="C122" s="13"/>
      <c r="D122" s="13"/>
      <c r="E122" s="13"/>
      <c r="F122" s="13"/>
      <c r="G122" s="13"/>
      <c r="H122" s="16"/>
      <c r="I122" s="16"/>
      <c r="J122" s="16"/>
      <c r="K122" s="16"/>
      <c r="L122" s="16"/>
      <c r="M122" s="16"/>
      <c r="N122" s="13"/>
      <c r="O122" s="13"/>
      <c r="P122" s="13"/>
      <c r="Q122" s="13"/>
      <c r="R122" s="13"/>
      <c r="S122" s="31"/>
      <c r="T122" s="31"/>
      <c r="U122" s="31"/>
    </row>
    <row r="123" spans="1:21" ht="20.100000000000001" customHeight="1">
      <c r="A123" s="13"/>
      <c r="B123" s="13"/>
      <c r="C123" s="13"/>
      <c r="D123" s="13"/>
      <c r="E123" s="13"/>
      <c r="F123" s="13"/>
      <c r="G123" s="13"/>
      <c r="H123" s="16"/>
      <c r="I123" s="16"/>
      <c r="J123" s="16"/>
      <c r="K123" s="16"/>
      <c r="L123" s="16"/>
      <c r="M123" s="16"/>
      <c r="N123" s="13"/>
      <c r="O123" s="13"/>
      <c r="P123" s="13"/>
      <c r="Q123" s="13"/>
      <c r="R123" s="13"/>
      <c r="S123" s="31"/>
      <c r="T123" s="31"/>
      <c r="U123" s="31"/>
    </row>
    <row r="124" spans="1:21" ht="20.100000000000001" customHeight="1">
      <c r="A124" s="13"/>
      <c r="B124" s="13"/>
      <c r="C124" s="13"/>
      <c r="D124" s="13"/>
      <c r="E124" s="13"/>
      <c r="F124" s="13"/>
      <c r="G124" s="13"/>
      <c r="H124" s="16"/>
      <c r="I124" s="16"/>
      <c r="J124" s="16"/>
      <c r="K124" s="16"/>
      <c r="L124" s="16"/>
      <c r="M124" s="16"/>
      <c r="N124" s="13"/>
      <c r="O124" s="13"/>
      <c r="P124" s="13"/>
      <c r="Q124" s="13"/>
      <c r="R124" s="13"/>
      <c r="S124" s="31"/>
      <c r="T124" s="31"/>
      <c r="U124" s="31"/>
    </row>
    <row r="125" spans="1:21" ht="20.100000000000001" customHeight="1">
      <c r="A125" s="13"/>
      <c r="B125" s="13"/>
      <c r="C125" s="13"/>
      <c r="D125" s="13"/>
      <c r="E125" s="13"/>
      <c r="F125" s="13"/>
      <c r="G125" s="13"/>
      <c r="H125" s="16"/>
      <c r="I125" s="16"/>
      <c r="J125" s="16"/>
      <c r="K125" s="16"/>
      <c r="L125" s="16"/>
      <c r="M125" s="16"/>
      <c r="N125" s="13"/>
      <c r="O125" s="13"/>
      <c r="P125" s="13"/>
      <c r="Q125" s="13"/>
      <c r="R125" s="13"/>
      <c r="S125" s="31"/>
      <c r="T125" s="31"/>
      <c r="U125" s="31"/>
    </row>
    <row r="126" spans="1:21" ht="20.100000000000001" customHeight="1">
      <c r="A126" s="13"/>
      <c r="B126" s="13"/>
      <c r="C126" s="13"/>
      <c r="D126" s="13"/>
      <c r="E126" s="13"/>
      <c r="F126" s="13"/>
      <c r="G126" s="13"/>
      <c r="H126" s="16"/>
      <c r="I126" s="16"/>
      <c r="J126" s="16"/>
      <c r="K126" s="16"/>
      <c r="L126" s="16"/>
      <c r="M126" s="16"/>
      <c r="N126" s="13"/>
      <c r="O126" s="13"/>
      <c r="P126" s="13"/>
      <c r="Q126" s="13"/>
      <c r="R126" s="13"/>
      <c r="S126" s="31"/>
      <c r="T126" s="31"/>
      <c r="U126" s="31"/>
    </row>
    <row r="127" spans="1:21" ht="20.100000000000001" customHeight="1">
      <c r="A127" s="13"/>
      <c r="B127" s="13"/>
      <c r="C127" s="13"/>
      <c r="D127" s="13"/>
      <c r="E127" s="13"/>
      <c r="F127" s="13"/>
      <c r="G127" s="13"/>
      <c r="H127" s="16"/>
      <c r="I127" s="16"/>
      <c r="J127" s="16"/>
      <c r="K127" s="16"/>
      <c r="L127" s="16"/>
      <c r="M127" s="16"/>
      <c r="N127" s="13"/>
      <c r="O127" s="13"/>
      <c r="P127" s="13"/>
      <c r="Q127" s="13"/>
      <c r="R127" s="13"/>
      <c r="S127" s="31"/>
      <c r="T127" s="31"/>
      <c r="U127" s="31"/>
    </row>
    <row r="128" spans="1:21" ht="20.100000000000001" customHeight="1">
      <c r="A128" s="13"/>
      <c r="B128" s="13"/>
      <c r="C128" s="13"/>
      <c r="D128" s="13"/>
      <c r="E128" s="13"/>
      <c r="F128" s="13"/>
      <c r="G128" s="13"/>
      <c r="H128" s="16"/>
      <c r="I128" s="16"/>
      <c r="J128" s="16"/>
      <c r="K128" s="16"/>
      <c r="L128" s="16"/>
      <c r="M128" s="16"/>
      <c r="N128" s="13"/>
      <c r="O128" s="13"/>
      <c r="P128" s="13"/>
      <c r="Q128" s="13"/>
      <c r="R128" s="13"/>
      <c r="S128" s="31"/>
      <c r="T128" s="31"/>
      <c r="U128" s="31"/>
    </row>
    <row r="129" spans="1:21" ht="20.100000000000001" customHeight="1">
      <c r="A129" s="13"/>
      <c r="B129" s="13"/>
      <c r="C129" s="13"/>
      <c r="D129" s="13"/>
      <c r="E129" s="13"/>
      <c r="F129" s="13"/>
      <c r="G129" s="13"/>
      <c r="H129" s="16"/>
      <c r="I129" s="16"/>
      <c r="J129" s="16"/>
      <c r="K129" s="16"/>
      <c r="L129" s="16"/>
      <c r="M129" s="16"/>
      <c r="N129" s="13"/>
      <c r="O129" s="13"/>
      <c r="P129" s="13"/>
      <c r="Q129" s="13"/>
      <c r="R129" s="13"/>
      <c r="S129" s="31"/>
      <c r="T129" s="31"/>
      <c r="U129" s="31"/>
    </row>
    <row r="130" spans="1:21" ht="20.100000000000001" customHeight="1">
      <c r="A130" s="13"/>
      <c r="B130" s="13"/>
      <c r="C130" s="13"/>
      <c r="D130" s="13"/>
      <c r="E130" s="13"/>
      <c r="F130" s="13"/>
      <c r="G130" s="13"/>
      <c r="H130" s="16"/>
      <c r="I130" s="16"/>
      <c r="J130" s="16"/>
      <c r="K130" s="16"/>
      <c r="L130" s="16"/>
      <c r="M130" s="16"/>
      <c r="N130" s="13"/>
      <c r="O130" s="13"/>
      <c r="P130" s="13"/>
      <c r="Q130" s="13"/>
      <c r="R130" s="13"/>
      <c r="S130" s="31"/>
      <c r="T130" s="31"/>
      <c r="U130" s="31"/>
    </row>
    <row r="131" spans="1:21" ht="20.100000000000001" customHeight="1">
      <c r="A131" s="13"/>
      <c r="B131" s="13"/>
      <c r="C131" s="13"/>
      <c r="D131" s="13"/>
      <c r="E131" s="13"/>
      <c r="F131" s="13"/>
      <c r="G131" s="13"/>
      <c r="H131" s="16"/>
      <c r="I131" s="16"/>
      <c r="J131" s="16"/>
      <c r="K131" s="16"/>
      <c r="L131" s="16"/>
      <c r="M131" s="16"/>
      <c r="N131" s="13"/>
      <c r="O131" s="13"/>
      <c r="P131" s="13"/>
      <c r="Q131" s="13"/>
      <c r="R131" s="13"/>
      <c r="S131" s="31"/>
      <c r="T131" s="31"/>
      <c r="U131" s="31"/>
    </row>
    <row r="132" spans="1:21" ht="20.100000000000001" customHeight="1">
      <c r="A132" s="13"/>
      <c r="B132" s="13"/>
      <c r="C132" s="13"/>
      <c r="D132" s="13"/>
      <c r="E132" s="13"/>
      <c r="F132" s="13"/>
      <c r="G132" s="13"/>
      <c r="H132" s="16"/>
      <c r="I132" s="16"/>
      <c r="J132" s="16"/>
      <c r="K132" s="16"/>
      <c r="L132" s="16"/>
      <c r="M132" s="16"/>
      <c r="N132" s="13"/>
      <c r="O132" s="13"/>
      <c r="P132" s="13"/>
      <c r="Q132" s="13"/>
      <c r="R132" s="13"/>
      <c r="S132" s="31"/>
      <c r="T132" s="31"/>
      <c r="U132" s="31"/>
    </row>
    <row r="133" spans="1:21" ht="20.100000000000001" customHeight="1">
      <c r="A133" s="13"/>
      <c r="B133" s="13"/>
      <c r="C133" s="13"/>
      <c r="D133" s="13"/>
      <c r="E133" s="13"/>
      <c r="F133" s="13"/>
      <c r="G133" s="13"/>
      <c r="H133" s="16"/>
      <c r="I133" s="16"/>
      <c r="J133" s="16"/>
      <c r="K133" s="16"/>
      <c r="L133" s="16"/>
      <c r="M133" s="16"/>
      <c r="N133" s="13"/>
      <c r="O133" s="13"/>
      <c r="P133" s="13"/>
      <c r="Q133" s="13"/>
      <c r="R133" s="13"/>
      <c r="S133" s="31"/>
      <c r="T133" s="31"/>
      <c r="U133" s="31"/>
    </row>
    <row r="134" spans="1:21" ht="20.100000000000001" customHeight="1">
      <c r="A134" s="13"/>
      <c r="B134" s="13"/>
      <c r="C134" s="13"/>
      <c r="D134" s="13"/>
      <c r="E134" s="13"/>
      <c r="F134" s="13"/>
      <c r="G134" s="13"/>
      <c r="H134" s="16"/>
      <c r="I134" s="16"/>
      <c r="J134" s="16"/>
      <c r="K134" s="16"/>
      <c r="L134" s="16"/>
      <c r="M134" s="16"/>
      <c r="N134" s="13"/>
      <c r="O134" s="13"/>
      <c r="P134" s="13"/>
      <c r="Q134" s="13"/>
      <c r="R134" s="13"/>
      <c r="S134" s="31"/>
      <c r="T134" s="31"/>
      <c r="U134" s="31"/>
    </row>
    <row r="135" spans="1:21" ht="20.100000000000001" customHeight="1">
      <c r="A135" s="13"/>
      <c r="B135" s="13"/>
      <c r="C135" s="13"/>
      <c r="D135" s="13"/>
      <c r="E135" s="13"/>
      <c r="F135" s="13"/>
      <c r="G135" s="13"/>
      <c r="H135" s="16"/>
      <c r="I135" s="16"/>
      <c r="J135" s="16"/>
      <c r="K135" s="16"/>
      <c r="L135" s="16"/>
      <c r="M135" s="16"/>
      <c r="N135" s="13"/>
      <c r="O135" s="13"/>
      <c r="P135" s="13"/>
      <c r="Q135" s="13"/>
      <c r="R135" s="13"/>
      <c r="S135" s="31"/>
      <c r="T135" s="31"/>
      <c r="U135" s="31"/>
    </row>
    <row r="136" spans="1:21" ht="20.100000000000001" customHeight="1">
      <c r="A136" s="13"/>
      <c r="B136" s="13"/>
      <c r="C136" s="13"/>
      <c r="D136" s="13"/>
      <c r="E136" s="13"/>
      <c r="F136" s="13"/>
      <c r="G136" s="13"/>
      <c r="H136" s="16"/>
      <c r="I136" s="16"/>
      <c r="J136" s="16"/>
      <c r="K136" s="16"/>
      <c r="L136" s="16"/>
      <c r="M136" s="16"/>
      <c r="N136" s="13"/>
      <c r="O136" s="13"/>
      <c r="P136" s="13"/>
      <c r="Q136" s="13"/>
      <c r="R136" s="13"/>
      <c r="S136" s="31"/>
      <c r="T136" s="31"/>
      <c r="U136" s="31"/>
    </row>
    <row r="137" spans="1:21" ht="20.100000000000001" customHeight="1">
      <c r="A137" s="13"/>
      <c r="B137" s="13"/>
      <c r="C137" s="13"/>
      <c r="D137" s="13"/>
      <c r="E137" s="13"/>
      <c r="F137" s="13"/>
      <c r="G137" s="13"/>
      <c r="H137" s="16"/>
      <c r="I137" s="16"/>
      <c r="J137" s="16"/>
      <c r="K137" s="16"/>
      <c r="L137" s="16"/>
      <c r="M137" s="16"/>
      <c r="N137" s="13"/>
      <c r="O137" s="13"/>
      <c r="P137" s="13"/>
      <c r="Q137" s="13"/>
      <c r="R137" s="13"/>
      <c r="S137" s="31"/>
      <c r="T137" s="31"/>
      <c r="U137" s="31"/>
    </row>
    <row r="138" spans="1:21" ht="20.100000000000001" customHeight="1">
      <c r="A138" s="13"/>
      <c r="B138" s="13"/>
      <c r="C138" s="13"/>
      <c r="D138" s="13"/>
      <c r="E138" s="13"/>
      <c r="F138" s="13"/>
      <c r="G138" s="13"/>
      <c r="H138" s="16"/>
      <c r="I138" s="16"/>
      <c r="J138" s="16"/>
      <c r="K138" s="16"/>
      <c r="L138" s="16"/>
      <c r="M138" s="16"/>
      <c r="N138" s="13"/>
      <c r="O138" s="13"/>
      <c r="P138" s="13"/>
      <c r="Q138" s="13"/>
      <c r="R138" s="13"/>
      <c r="S138" s="31"/>
      <c r="T138" s="31"/>
      <c r="U138" s="31"/>
    </row>
    <row r="139" spans="1:21" ht="20.100000000000001" customHeight="1">
      <c r="A139" s="13"/>
      <c r="B139" s="13"/>
      <c r="C139" s="13"/>
      <c r="D139" s="13"/>
      <c r="E139" s="13"/>
      <c r="F139" s="13"/>
      <c r="G139" s="13"/>
      <c r="H139" s="16"/>
      <c r="I139" s="16"/>
      <c r="J139" s="16"/>
      <c r="K139" s="16"/>
      <c r="L139" s="16"/>
      <c r="M139" s="16"/>
      <c r="N139" s="13"/>
      <c r="O139" s="13"/>
      <c r="P139" s="13"/>
      <c r="Q139" s="13"/>
      <c r="R139" s="13"/>
      <c r="S139" s="31"/>
      <c r="T139" s="31"/>
      <c r="U139" s="31"/>
    </row>
    <row r="140" spans="1:21" ht="20.100000000000001" customHeight="1">
      <c r="A140" s="13"/>
      <c r="B140" s="13"/>
      <c r="C140" s="13"/>
      <c r="D140" s="13"/>
      <c r="E140" s="13"/>
      <c r="F140" s="13"/>
      <c r="G140" s="13"/>
      <c r="H140" s="16"/>
      <c r="I140" s="16"/>
      <c r="J140" s="16"/>
      <c r="K140" s="16"/>
      <c r="L140" s="16"/>
      <c r="M140" s="16"/>
      <c r="N140" s="13"/>
      <c r="O140" s="13"/>
      <c r="P140" s="13"/>
      <c r="Q140" s="13"/>
      <c r="R140" s="13"/>
      <c r="S140" s="31"/>
      <c r="T140" s="31"/>
      <c r="U140" s="31"/>
    </row>
    <row r="141" spans="1:21" ht="20.100000000000001" customHeight="1">
      <c r="A141" s="13"/>
      <c r="B141" s="13"/>
      <c r="C141" s="13"/>
      <c r="D141" s="13"/>
      <c r="E141" s="13"/>
      <c r="F141" s="13"/>
      <c r="G141" s="13"/>
      <c r="H141" s="16"/>
      <c r="I141" s="16"/>
      <c r="J141" s="16"/>
      <c r="K141" s="16"/>
      <c r="L141" s="16"/>
      <c r="M141" s="16"/>
      <c r="N141" s="13"/>
      <c r="O141" s="13"/>
      <c r="P141" s="13"/>
      <c r="Q141" s="13"/>
      <c r="R141" s="13"/>
      <c r="S141" s="31"/>
      <c r="T141" s="31"/>
      <c r="U141" s="31"/>
    </row>
    <row r="142" spans="1:21" ht="20.100000000000001" customHeight="1">
      <c r="A142" s="13"/>
      <c r="B142" s="13"/>
      <c r="C142" s="13"/>
      <c r="D142" s="13"/>
      <c r="E142" s="13"/>
      <c r="F142" s="13"/>
      <c r="G142" s="13"/>
      <c r="H142" s="16"/>
      <c r="I142" s="16"/>
      <c r="J142" s="16"/>
      <c r="K142" s="16"/>
      <c r="L142" s="16"/>
      <c r="M142" s="16"/>
      <c r="N142" s="13"/>
      <c r="O142" s="13"/>
      <c r="P142" s="13"/>
      <c r="Q142" s="13"/>
      <c r="R142" s="13"/>
      <c r="S142" s="31"/>
      <c r="T142" s="31"/>
      <c r="U142" s="31"/>
    </row>
    <row r="143" spans="1:21" ht="20.100000000000001" customHeight="1">
      <c r="A143" s="13"/>
      <c r="B143" s="13"/>
      <c r="C143" s="13"/>
      <c r="D143" s="13"/>
      <c r="E143" s="13"/>
      <c r="F143" s="13"/>
      <c r="G143" s="13"/>
      <c r="H143" s="16"/>
      <c r="I143" s="16"/>
      <c r="J143" s="16"/>
      <c r="K143" s="16"/>
      <c r="L143" s="16"/>
      <c r="M143" s="16"/>
      <c r="N143" s="13"/>
      <c r="O143" s="13"/>
      <c r="P143" s="13"/>
      <c r="Q143" s="13"/>
      <c r="R143" s="13"/>
      <c r="S143" s="31"/>
      <c r="T143" s="31"/>
      <c r="U143" s="31"/>
    </row>
    <row r="144" spans="1:21" ht="20.100000000000001" customHeight="1">
      <c r="A144" s="13"/>
      <c r="B144" s="13"/>
      <c r="C144" s="13"/>
      <c r="D144" s="13"/>
      <c r="E144" s="13"/>
      <c r="F144" s="13"/>
      <c r="G144" s="13"/>
      <c r="H144" s="16"/>
      <c r="I144" s="16"/>
      <c r="J144" s="16"/>
      <c r="K144" s="16"/>
      <c r="L144" s="16"/>
      <c r="M144" s="16"/>
      <c r="N144" s="13"/>
      <c r="O144" s="13"/>
      <c r="P144" s="13"/>
      <c r="Q144" s="13"/>
      <c r="R144" s="13"/>
      <c r="S144" s="31"/>
      <c r="T144" s="31"/>
      <c r="U144" s="31"/>
    </row>
    <row r="145" spans="1:21" ht="20.100000000000001" customHeight="1">
      <c r="A145" s="13"/>
      <c r="B145" s="13"/>
      <c r="C145" s="13"/>
      <c r="D145" s="13"/>
      <c r="E145" s="13"/>
      <c r="F145" s="13"/>
      <c r="G145" s="13"/>
      <c r="H145" s="16"/>
      <c r="I145" s="16"/>
      <c r="J145" s="16"/>
      <c r="K145" s="16"/>
      <c r="L145" s="16"/>
      <c r="M145" s="16"/>
      <c r="N145" s="13"/>
      <c r="O145" s="13"/>
      <c r="P145" s="13"/>
      <c r="Q145" s="13"/>
      <c r="R145" s="13"/>
      <c r="S145" s="31"/>
      <c r="T145" s="31"/>
      <c r="U145" s="31"/>
    </row>
    <row r="146" spans="1:21" ht="20.100000000000001" customHeight="1">
      <c r="A146" s="13"/>
      <c r="B146" s="13"/>
      <c r="C146" s="13"/>
      <c r="D146" s="13"/>
      <c r="E146" s="13"/>
      <c r="F146" s="13"/>
      <c r="G146" s="13"/>
      <c r="H146" s="16"/>
      <c r="I146" s="16"/>
      <c r="J146" s="16"/>
      <c r="K146" s="16"/>
      <c r="L146" s="16"/>
      <c r="M146" s="16"/>
      <c r="N146" s="13"/>
      <c r="O146" s="13"/>
      <c r="P146" s="13"/>
      <c r="Q146" s="13"/>
      <c r="R146" s="13"/>
      <c r="S146" s="31"/>
      <c r="T146" s="31"/>
      <c r="U146" s="31"/>
    </row>
    <row r="147" spans="1:21" ht="20.100000000000001" customHeight="1">
      <c r="A147" s="13"/>
      <c r="B147" s="13"/>
      <c r="C147" s="13"/>
      <c r="D147" s="13"/>
      <c r="E147" s="13"/>
      <c r="F147" s="13"/>
      <c r="G147" s="13"/>
      <c r="H147" s="16"/>
      <c r="I147" s="16"/>
      <c r="J147" s="16"/>
      <c r="K147" s="16"/>
      <c r="L147" s="16"/>
      <c r="M147" s="16"/>
      <c r="N147" s="13"/>
      <c r="O147" s="13"/>
      <c r="P147" s="13"/>
      <c r="Q147" s="13"/>
      <c r="R147" s="13"/>
      <c r="S147" s="31"/>
      <c r="T147" s="31"/>
      <c r="U147" s="31"/>
    </row>
    <row r="148" spans="1:21" ht="20.100000000000001" customHeight="1">
      <c r="A148" s="13"/>
      <c r="B148" s="13"/>
      <c r="C148" s="13"/>
      <c r="D148" s="13"/>
      <c r="E148" s="13"/>
      <c r="F148" s="13"/>
      <c r="G148" s="13"/>
      <c r="H148" s="16"/>
      <c r="I148" s="16"/>
      <c r="J148" s="16"/>
      <c r="K148" s="16"/>
      <c r="L148" s="16"/>
      <c r="M148" s="16"/>
      <c r="N148" s="13"/>
      <c r="O148" s="13"/>
      <c r="P148" s="13"/>
      <c r="Q148" s="13"/>
      <c r="R148" s="13"/>
      <c r="S148" s="31"/>
      <c r="T148" s="31"/>
      <c r="U148" s="31"/>
    </row>
    <row r="149" spans="1:21" ht="20.100000000000001" customHeight="1">
      <c r="A149" s="13"/>
      <c r="B149" s="13"/>
      <c r="C149" s="13"/>
      <c r="D149" s="13"/>
      <c r="E149" s="13"/>
      <c r="F149" s="13"/>
      <c r="G149" s="13"/>
      <c r="H149" s="16"/>
      <c r="I149" s="16"/>
      <c r="J149" s="16"/>
      <c r="K149" s="16"/>
      <c r="L149" s="16"/>
      <c r="M149" s="16"/>
      <c r="N149" s="13"/>
      <c r="O149" s="13"/>
      <c r="P149" s="13"/>
      <c r="Q149" s="13"/>
      <c r="R149" s="13"/>
      <c r="S149" s="31"/>
      <c r="T149" s="31"/>
      <c r="U149" s="31"/>
    </row>
    <row r="150" spans="1:21" ht="20.100000000000001" customHeight="1">
      <c r="A150" s="13"/>
      <c r="B150" s="13"/>
      <c r="C150" s="13"/>
      <c r="D150" s="13"/>
      <c r="E150" s="13"/>
      <c r="F150" s="13"/>
      <c r="G150" s="13"/>
      <c r="H150" s="16"/>
      <c r="I150" s="16"/>
      <c r="J150" s="16"/>
      <c r="K150" s="16"/>
      <c r="L150" s="16"/>
      <c r="M150" s="16"/>
      <c r="N150" s="13"/>
      <c r="O150" s="13"/>
      <c r="P150" s="13"/>
      <c r="Q150" s="13"/>
      <c r="R150" s="13"/>
      <c r="S150" s="31"/>
      <c r="T150" s="31"/>
      <c r="U150" s="31"/>
    </row>
    <row r="151" spans="1:21" ht="20.100000000000001" customHeight="1">
      <c r="A151" s="13"/>
      <c r="B151" s="13"/>
      <c r="C151" s="13"/>
      <c r="D151" s="13"/>
      <c r="E151" s="13"/>
      <c r="F151" s="13"/>
      <c r="G151" s="13"/>
      <c r="H151" s="16"/>
      <c r="I151" s="16"/>
      <c r="J151" s="16"/>
      <c r="K151" s="16"/>
      <c r="L151" s="16"/>
      <c r="M151" s="16"/>
      <c r="N151" s="13"/>
      <c r="O151" s="13"/>
      <c r="P151" s="13"/>
      <c r="Q151" s="13"/>
      <c r="R151" s="13"/>
      <c r="S151" s="31"/>
      <c r="T151" s="31"/>
      <c r="U151" s="31"/>
    </row>
    <row r="152" spans="1:21" ht="20.100000000000001" customHeight="1">
      <c r="A152" s="13"/>
      <c r="B152" s="13"/>
      <c r="C152" s="13"/>
      <c r="D152" s="13"/>
      <c r="E152" s="13"/>
      <c r="F152" s="13"/>
      <c r="G152" s="13"/>
      <c r="H152" s="16"/>
      <c r="I152" s="16"/>
      <c r="J152" s="16"/>
      <c r="K152" s="16"/>
      <c r="L152" s="16"/>
      <c r="M152" s="16"/>
      <c r="N152" s="13"/>
      <c r="O152" s="13"/>
      <c r="P152" s="13"/>
      <c r="Q152" s="13"/>
      <c r="R152" s="13"/>
      <c r="S152" s="31"/>
      <c r="T152" s="31"/>
      <c r="U152" s="31"/>
    </row>
    <row r="153" spans="1:21" ht="20.100000000000001" customHeight="1">
      <c r="A153" s="13"/>
      <c r="B153" s="13"/>
      <c r="C153" s="13"/>
      <c r="D153" s="13"/>
      <c r="E153" s="13"/>
      <c r="F153" s="13"/>
      <c r="G153" s="13"/>
      <c r="H153" s="16"/>
      <c r="I153" s="16"/>
      <c r="J153" s="16"/>
      <c r="K153" s="16"/>
      <c r="L153" s="16"/>
      <c r="M153" s="16"/>
      <c r="N153" s="13"/>
      <c r="O153" s="13"/>
      <c r="P153" s="13"/>
      <c r="Q153" s="13"/>
      <c r="R153" s="13"/>
      <c r="S153" s="31"/>
      <c r="T153" s="31"/>
      <c r="U153" s="31"/>
    </row>
    <row r="154" spans="1:21" ht="20.100000000000001" customHeight="1">
      <c r="A154" s="13"/>
      <c r="B154" s="13"/>
      <c r="C154" s="13"/>
      <c r="D154" s="13"/>
      <c r="E154" s="13"/>
      <c r="F154" s="13"/>
      <c r="G154" s="13"/>
      <c r="H154" s="16"/>
      <c r="I154" s="16"/>
      <c r="J154" s="16"/>
      <c r="K154" s="16"/>
      <c r="L154" s="16"/>
      <c r="M154" s="16"/>
      <c r="N154" s="13"/>
      <c r="O154" s="13"/>
      <c r="P154" s="13"/>
      <c r="Q154" s="13"/>
      <c r="R154" s="13"/>
      <c r="S154" s="31"/>
      <c r="T154" s="31"/>
      <c r="U154" s="31"/>
    </row>
    <row r="155" spans="1:21" ht="20.100000000000001" customHeight="1">
      <c r="A155" s="13"/>
      <c r="B155" s="13"/>
      <c r="C155" s="13"/>
      <c r="D155" s="13"/>
      <c r="E155" s="13"/>
      <c r="F155" s="13"/>
      <c r="G155" s="13"/>
      <c r="H155" s="16"/>
      <c r="I155" s="16"/>
      <c r="J155" s="16"/>
      <c r="K155" s="16"/>
      <c r="L155" s="16"/>
      <c r="M155" s="16"/>
      <c r="N155" s="13"/>
      <c r="O155" s="13"/>
      <c r="P155" s="13"/>
      <c r="Q155" s="13"/>
      <c r="R155" s="13"/>
      <c r="S155" s="31"/>
      <c r="T155" s="31"/>
      <c r="U155" s="31"/>
    </row>
    <row r="156" spans="1:21" ht="20.100000000000001" customHeight="1">
      <c r="A156" s="13"/>
      <c r="B156" s="13"/>
      <c r="C156" s="13"/>
      <c r="D156" s="13"/>
      <c r="E156" s="13"/>
      <c r="F156" s="13"/>
      <c r="G156" s="13"/>
      <c r="H156" s="16"/>
      <c r="I156" s="16"/>
      <c r="J156" s="16"/>
      <c r="K156" s="16"/>
      <c r="L156" s="16"/>
      <c r="M156" s="16"/>
      <c r="N156" s="13"/>
      <c r="O156" s="13"/>
      <c r="P156" s="13"/>
      <c r="Q156" s="13"/>
      <c r="R156" s="13"/>
      <c r="S156" s="31"/>
      <c r="T156" s="31"/>
      <c r="U156" s="31"/>
    </row>
    <row r="157" spans="1:21" ht="20.100000000000001" customHeight="1">
      <c r="A157" s="13"/>
      <c r="B157" s="13"/>
      <c r="C157" s="13"/>
      <c r="D157" s="13"/>
      <c r="E157" s="13"/>
      <c r="F157" s="13"/>
      <c r="G157" s="13"/>
      <c r="H157" s="16"/>
      <c r="I157" s="16"/>
      <c r="J157" s="16"/>
      <c r="K157" s="16"/>
      <c r="L157" s="16"/>
      <c r="M157" s="16"/>
      <c r="N157" s="13"/>
      <c r="O157" s="13"/>
      <c r="P157" s="13"/>
      <c r="Q157" s="13"/>
      <c r="R157" s="13"/>
      <c r="S157" s="31"/>
      <c r="T157" s="31"/>
      <c r="U157" s="31"/>
    </row>
    <row r="158" spans="1:21" ht="20.100000000000001" customHeight="1">
      <c r="A158" s="13"/>
      <c r="B158" s="13"/>
      <c r="C158" s="13"/>
      <c r="D158" s="13"/>
      <c r="E158" s="13"/>
      <c r="F158" s="13"/>
      <c r="G158" s="13"/>
      <c r="H158" s="16"/>
      <c r="I158" s="16"/>
      <c r="J158" s="16"/>
      <c r="K158" s="16"/>
      <c r="L158" s="16"/>
      <c r="M158" s="16"/>
      <c r="N158" s="13"/>
      <c r="O158" s="13"/>
      <c r="P158" s="13"/>
      <c r="Q158" s="13"/>
      <c r="R158" s="13"/>
      <c r="S158" s="31"/>
      <c r="T158" s="31"/>
      <c r="U158" s="31"/>
    </row>
    <row r="159" spans="1:21" ht="20.100000000000001" customHeight="1">
      <c r="A159" s="13"/>
      <c r="B159" s="13"/>
      <c r="C159" s="13"/>
      <c r="D159" s="13"/>
      <c r="E159" s="13"/>
      <c r="F159" s="13"/>
      <c r="G159" s="13"/>
      <c r="H159" s="16"/>
      <c r="I159" s="16"/>
      <c r="J159" s="16"/>
      <c r="K159" s="16"/>
      <c r="L159" s="16"/>
      <c r="M159" s="16"/>
      <c r="N159" s="13"/>
      <c r="O159" s="13"/>
      <c r="P159" s="13"/>
      <c r="Q159" s="13"/>
      <c r="R159" s="13"/>
      <c r="S159" s="31"/>
      <c r="T159" s="31"/>
      <c r="U159" s="31"/>
    </row>
    <row r="160" spans="1:21" ht="20.100000000000001" customHeight="1">
      <c r="A160" s="13"/>
      <c r="B160" s="13"/>
      <c r="C160" s="13"/>
      <c r="D160" s="13"/>
      <c r="E160" s="13"/>
      <c r="F160" s="13"/>
      <c r="G160" s="13"/>
      <c r="H160" s="16"/>
      <c r="I160" s="16"/>
      <c r="J160" s="16"/>
      <c r="K160" s="16"/>
      <c r="L160" s="16"/>
      <c r="M160" s="16"/>
      <c r="N160" s="13"/>
      <c r="O160" s="13"/>
      <c r="P160" s="13"/>
      <c r="Q160" s="13"/>
      <c r="R160" s="13"/>
      <c r="S160" s="31"/>
      <c r="T160" s="31"/>
      <c r="U160" s="31"/>
    </row>
    <row r="161" spans="1:21" ht="20.100000000000001" customHeight="1">
      <c r="A161" s="13"/>
      <c r="B161" s="13"/>
      <c r="C161" s="13"/>
      <c r="D161" s="13"/>
      <c r="E161" s="13"/>
      <c r="F161" s="13"/>
      <c r="G161" s="13"/>
      <c r="H161" s="16"/>
      <c r="I161" s="16"/>
      <c r="J161" s="16"/>
      <c r="K161" s="16"/>
      <c r="L161" s="16"/>
      <c r="M161" s="16"/>
      <c r="N161" s="13"/>
      <c r="O161" s="13"/>
      <c r="P161" s="13"/>
      <c r="Q161" s="13"/>
      <c r="R161" s="13"/>
      <c r="S161" s="31"/>
      <c r="T161" s="31"/>
      <c r="U161" s="31"/>
    </row>
    <row r="162" spans="1:21" ht="20.100000000000001" customHeight="1">
      <c r="A162" s="13"/>
      <c r="B162" s="13"/>
      <c r="C162" s="13"/>
      <c r="D162" s="13"/>
      <c r="E162" s="13"/>
      <c r="F162" s="13"/>
      <c r="G162" s="13"/>
      <c r="H162" s="16"/>
      <c r="I162" s="16"/>
      <c r="J162" s="16"/>
      <c r="K162" s="16"/>
      <c r="L162" s="16"/>
      <c r="M162" s="16"/>
      <c r="N162" s="13"/>
      <c r="O162" s="13"/>
      <c r="P162" s="13"/>
      <c r="Q162" s="13"/>
      <c r="R162" s="13"/>
      <c r="S162" s="31"/>
      <c r="T162" s="31"/>
      <c r="U162" s="31"/>
    </row>
    <row r="163" spans="1:21" ht="20.100000000000001" customHeight="1">
      <c r="A163" s="13"/>
      <c r="B163" s="13"/>
      <c r="C163" s="13"/>
      <c r="D163" s="13"/>
      <c r="E163" s="13"/>
      <c r="F163" s="13"/>
      <c r="G163" s="13"/>
      <c r="H163" s="16"/>
      <c r="I163" s="16"/>
      <c r="J163" s="16"/>
      <c r="K163" s="16"/>
      <c r="L163" s="16"/>
      <c r="M163" s="16"/>
      <c r="N163" s="13"/>
      <c r="O163" s="13"/>
      <c r="P163" s="13"/>
      <c r="Q163" s="13"/>
      <c r="R163" s="13"/>
      <c r="S163" s="31"/>
      <c r="T163" s="31"/>
      <c r="U163" s="31"/>
    </row>
    <row r="164" spans="1:21" ht="20.100000000000001" customHeight="1">
      <c r="A164" s="13"/>
      <c r="B164" s="13"/>
      <c r="C164" s="13"/>
      <c r="D164" s="13"/>
      <c r="E164" s="13"/>
      <c r="F164" s="13"/>
      <c r="G164" s="13"/>
      <c r="H164" s="16"/>
      <c r="I164" s="16"/>
      <c r="J164" s="16"/>
      <c r="K164" s="16"/>
      <c r="L164" s="16"/>
      <c r="M164" s="16"/>
      <c r="N164" s="13"/>
      <c r="O164" s="13"/>
      <c r="P164" s="13"/>
      <c r="Q164" s="13"/>
      <c r="R164" s="13"/>
      <c r="S164" s="31"/>
      <c r="T164" s="31"/>
      <c r="U164" s="31"/>
    </row>
    <row r="165" spans="1:21" ht="20.100000000000001" customHeight="1">
      <c r="A165" s="13"/>
      <c r="B165" s="13"/>
      <c r="C165" s="13"/>
      <c r="D165" s="13"/>
      <c r="E165" s="13"/>
      <c r="F165" s="13"/>
      <c r="G165" s="13"/>
      <c r="H165" s="16"/>
      <c r="I165" s="16"/>
      <c r="J165" s="16"/>
      <c r="K165" s="16"/>
      <c r="L165" s="16"/>
      <c r="M165" s="16"/>
      <c r="N165" s="13"/>
      <c r="O165" s="13"/>
      <c r="P165" s="13"/>
      <c r="Q165" s="13"/>
      <c r="R165" s="13"/>
      <c r="S165" s="31"/>
      <c r="T165" s="31"/>
      <c r="U165" s="31"/>
    </row>
    <row r="166" spans="1:21" ht="20.100000000000001" customHeight="1">
      <c r="A166" s="13"/>
      <c r="B166" s="13"/>
      <c r="C166" s="13"/>
      <c r="D166" s="13"/>
      <c r="E166" s="13"/>
      <c r="F166" s="13"/>
      <c r="G166" s="13"/>
      <c r="H166" s="16"/>
      <c r="I166" s="16"/>
      <c r="J166" s="16"/>
      <c r="K166" s="16"/>
      <c r="L166" s="16"/>
      <c r="M166" s="16"/>
      <c r="N166" s="13"/>
      <c r="O166" s="13"/>
      <c r="P166" s="13"/>
      <c r="Q166" s="13"/>
      <c r="R166" s="13"/>
      <c r="S166" s="31"/>
      <c r="T166" s="31"/>
      <c r="U166" s="31"/>
    </row>
    <row r="167" spans="1:21" ht="20.100000000000001" customHeight="1">
      <c r="A167" s="13"/>
      <c r="B167" s="13"/>
      <c r="C167" s="13"/>
      <c r="D167" s="13"/>
      <c r="E167" s="13"/>
      <c r="F167" s="13"/>
      <c r="G167" s="13"/>
      <c r="H167" s="16"/>
      <c r="I167" s="16"/>
      <c r="J167" s="16"/>
      <c r="K167" s="16"/>
      <c r="L167" s="16"/>
      <c r="M167" s="16"/>
      <c r="N167" s="13"/>
      <c r="O167" s="13"/>
      <c r="P167" s="13"/>
      <c r="Q167" s="13"/>
      <c r="R167" s="13"/>
      <c r="S167" s="31"/>
      <c r="T167" s="31"/>
      <c r="U167" s="31"/>
    </row>
    <row r="168" spans="1:21" ht="20.100000000000001" customHeight="1">
      <c r="A168" s="13"/>
      <c r="B168" s="13"/>
      <c r="C168" s="13"/>
      <c r="D168" s="13"/>
      <c r="E168" s="13"/>
      <c r="F168" s="13"/>
      <c r="G168" s="13"/>
      <c r="H168" s="16"/>
      <c r="I168" s="16"/>
      <c r="J168" s="16"/>
      <c r="K168" s="16"/>
      <c r="L168" s="16"/>
      <c r="M168" s="16"/>
      <c r="N168" s="13"/>
      <c r="O168" s="13"/>
      <c r="P168" s="13"/>
      <c r="Q168" s="13"/>
      <c r="R168" s="13"/>
      <c r="S168" s="31"/>
      <c r="T168" s="31"/>
      <c r="U168" s="31"/>
    </row>
    <row r="169" spans="1:21" ht="20.100000000000001" customHeight="1">
      <c r="A169" s="13"/>
      <c r="B169" s="13"/>
      <c r="C169" s="13"/>
      <c r="D169" s="13"/>
      <c r="E169" s="13"/>
      <c r="F169" s="13"/>
      <c r="G169" s="13"/>
      <c r="H169" s="16"/>
      <c r="I169" s="16"/>
      <c r="J169" s="16"/>
      <c r="K169" s="16"/>
      <c r="L169" s="16"/>
      <c r="M169" s="16"/>
      <c r="N169" s="13"/>
      <c r="O169" s="13"/>
      <c r="P169" s="13"/>
      <c r="Q169" s="13"/>
      <c r="R169" s="13"/>
      <c r="S169" s="31"/>
      <c r="T169" s="31"/>
      <c r="U169" s="31"/>
    </row>
    <row r="170" spans="1:21" ht="20.100000000000001" customHeight="1">
      <c r="A170" s="13"/>
      <c r="B170" s="13"/>
      <c r="C170" s="13"/>
      <c r="D170" s="13"/>
      <c r="E170" s="13"/>
      <c r="F170" s="13"/>
      <c r="G170" s="13"/>
      <c r="H170" s="16"/>
      <c r="I170" s="16"/>
      <c r="J170" s="16"/>
      <c r="K170" s="16"/>
      <c r="L170" s="16"/>
      <c r="M170" s="16"/>
      <c r="N170" s="13"/>
      <c r="O170" s="13"/>
      <c r="P170" s="13"/>
      <c r="Q170" s="13"/>
      <c r="R170" s="13"/>
      <c r="S170" s="31"/>
      <c r="T170" s="31"/>
      <c r="U170" s="31"/>
    </row>
    <row r="171" spans="1:21" ht="20.100000000000001" customHeight="1">
      <c r="A171" s="13"/>
      <c r="B171" s="13"/>
      <c r="C171" s="13"/>
      <c r="D171" s="13"/>
      <c r="E171" s="13"/>
      <c r="F171" s="13"/>
      <c r="G171" s="13"/>
      <c r="H171" s="16"/>
      <c r="I171" s="16"/>
      <c r="J171" s="16"/>
      <c r="K171" s="16"/>
      <c r="L171" s="16"/>
      <c r="M171" s="16"/>
      <c r="N171" s="13"/>
      <c r="O171" s="13"/>
      <c r="P171" s="13"/>
      <c r="Q171" s="13"/>
      <c r="R171" s="13"/>
      <c r="S171" s="31"/>
      <c r="T171" s="31"/>
      <c r="U171" s="31"/>
    </row>
    <row r="172" spans="1:21" ht="20.100000000000001" customHeight="1">
      <c r="A172" s="13"/>
      <c r="B172" s="13"/>
      <c r="C172" s="13"/>
      <c r="D172" s="13"/>
      <c r="E172" s="13"/>
      <c r="F172" s="13"/>
      <c r="G172" s="13"/>
      <c r="H172" s="16"/>
      <c r="I172" s="16"/>
      <c r="J172" s="16"/>
      <c r="K172" s="16"/>
      <c r="L172" s="16"/>
      <c r="M172" s="16"/>
      <c r="N172" s="13"/>
      <c r="O172" s="13"/>
      <c r="P172" s="13"/>
      <c r="Q172" s="13"/>
      <c r="R172" s="13"/>
      <c r="S172" s="31"/>
      <c r="T172" s="31"/>
      <c r="U172" s="31"/>
    </row>
    <row r="173" spans="1:21" ht="20.100000000000001" customHeight="1">
      <c r="A173" s="13"/>
      <c r="B173" s="13"/>
      <c r="C173" s="13"/>
      <c r="D173" s="13"/>
      <c r="E173" s="13"/>
      <c r="F173" s="13"/>
      <c r="G173" s="13"/>
      <c r="H173" s="16"/>
      <c r="I173" s="16"/>
      <c r="J173" s="16"/>
      <c r="K173" s="16"/>
      <c r="L173" s="16"/>
      <c r="M173" s="16"/>
      <c r="N173" s="13"/>
      <c r="O173" s="13"/>
      <c r="P173" s="13"/>
      <c r="Q173" s="13"/>
      <c r="R173" s="13"/>
      <c r="S173" s="31"/>
      <c r="T173" s="31"/>
      <c r="U173" s="31"/>
    </row>
    <row r="174" spans="1:21" ht="20.100000000000001" customHeight="1">
      <c r="A174" s="13"/>
      <c r="B174" s="13"/>
      <c r="C174" s="13"/>
      <c r="D174" s="13"/>
      <c r="E174" s="13"/>
      <c r="F174" s="13"/>
      <c r="G174" s="13"/>
      <c r="H174" s="16"/>
      <c r="I174" s="16"/>
      <c r="J174" s="16"/>
      <c r="K174" s="16"/>
      <c r="L174" s="16"/>
      <c r="M174" s="16"/>
      <c r="N174" s="13"/>
      <c r="O174" s="13"/>
      <c r="P174" s="13"/>
      <c r="Q174" s="13"/>
      <c r="R174" s="13"/>
      <c r="S174" s="31"/>
      <c r="T174" s="31"/>
      <c r="U174" s="31"/>
    </row>
    <row r="175" spans="1:21" ht="20.100000000000001" customHeight="1">
      <c r="A175" s="13"/>
      <c r="B175" s="13"/>
      <c r="C175" s="13"/>
      <c r="D175" s="13"/>
      <c r="E175" s="13"/>
      <c r="F175" s="13"/>
      <c r="G175" s="13"/>
      <c r="H175" s="16"/>
      <c r="I175" s="16"/>
      <c r="J175" s="16"/>
      <c r="K175" s="16"/>
      <c r="L175" s="16"/>
      <c r="M175" s="16"/>
      <c r="N175" s="13"/>
      <c r="O175" s="13"/>
      <c r="P175" s="13"/>
      <c r="Q175" s="13"/>
      <c r="R175" s="13"/>
      <c r="S175" s="31"/>
      <c r="T175" s="31"/>
      <c r="U175" s="31"/>
    </row>
    <row r="176" spans="1:21" ht="20.100000000000001" customHeight="1">
      <c r="A176" s="13"/>
      <c r="B176" s="13"/>
      <c r="C176" s="13"/>
      <c r="D176" s="13"/>
      <c r="E176" s="13"/>
      <c r="F176" s="13"/>
      <c r="G176" s="13"/>
      <c r="H176" s="16"/>
      <c r="I176" s="16"/>
      <c r="J176" s="16"/>
      <c r="K176" s="16"/>
      <c r="L176" s="16"/>
      <c r="M176" s="16"/>
      <c r="N176" s="13"/>
      <c r="O176" s="13"/>
      <c r="P176" s="13"/>
      <c r="Q176" s="13"/>
      <c r="R176" s="13"/>
      <c r="S176" s="31"/>
      <c r="T176" s="31"/>
      <c r="U176" s="31"/>
    </row>
    <row r="177" spans="1:21" ht="20.100000000000001" customHeight="1">
      <c r="A177" s="13"/>
      <c r="B177" s="13"/>
      <c r="C177" s="13"/>
      <c r="D177" s="13"/>
      <c r="E177" s="13"/>
      <c r="F177" s="13"/>
      <c r="G177" s="13"/>
      <c r="H177" s="16"/>
      <c r="I177" s="16"/>
      <c r="J177" s="16"/>
      <c r="K177" s="16"/>
      <c r="L177" s="16"/>
      <c r="M177" s="16"/>
      <c r="N177" s="13"/>
      <c r="O177" s="13"/>
      <c r="P177" s="13"/>
      <c r="Q177" s="13"/>
      <c r="R177" s="13"/>
      <c r="S177" s="31"/>
      <c r="T177" s="31"/>
      <c r="U177" s="31"/>
    </row>
    <row r="178" spans="1:21" ht="20.100000000000001" customHeight="1">
      <c r="A178" s="13"/>
      <c r="B178" s="13"/>
      <c r="C178" s="13"/>
      <c r="D178" s="13"/>
      <c r="E178" s="13"/>
      <c r="F178" s="13"/>
      <c r="G178" s="13"/>
      <c r="H178" s="16"/>
      <c r="I178" s="16"/>
      <c r="J178" s="16"/>
      <c r="K178" s="16"/>
      <c r="L178" s="16"/>
      <c r="M178" s="16"/>
      <c r="N178" s="13"/>
      <c r="O178" s="13"/>
      <c r="P178" s="13"/>
      <c r="Q178" s="13"/>
      <c r="R178" s="13"/>
      <c r="S178" s="31"/>
      <c r="T178" s="31"/>
      <c r="U178" s="31"/>
    </row>
    <row r="179" spans="1:21" ht="20.100000000000001" customHeight="1">
      <c r="A179" s="13"/>
      <c r="B179" s="13"/>
      <c r="C179" s="13"/>
      <c r="D179" s="13"/>
      <c r="E179" s="13"/>
      <c r="F179" s="13"/>
      <c r="G179" s="13"/>
      <c r="H179" s="16"/>
      <c r="I179" s="16"/>
      <c r="J179" s="16"/>
      <c r="K179" s="16"/>
      <c r="L179" s="16"/>
      <c r="M179" s="16"/>
      <c r="N179" s="13"/>
      <c r="O179" s="13"/>
      <c r="P179" s="13"/>
      <c r="Q179" s="13"/>
      <c r="R179" s="13"/>
      <c r="S179" s="31"/>
      <c r="T179" s="31"/>
      <c r="U179" s="31"/>
    </row>
    <row r="180" spans="1:21" ht="20.100000000000001" customHeight="1">
      <c r="A180" s="13"/>
      <c r="B180" s="13"/>
      <c r="C180" s="13"/>
      <c r="D180" s="13"/>
      <c r="E180" s="13"/>
      <c r="F180" s="13"/>
      <c r="G180" s="13"/>
      <c r="H180" s="16"/>
      <c r="I180" s="16"/>
      <c r="J180" s="16"/>
      <c r="K180" s="16"/>
      <c r="L180" s="16"/>
      <c r="M180" s="16"/>
      <c r="N180" s="13"/>
      <c r="O180" s="13"/>
      <c r="P180" s="13"/>
      <c r="Q180" s="13"/>
      <c r="R180" s="13"/>
      <c r="S180" s="31"/>
      <c r="T180" s="31"/>
      <c r="U180" s="31"/>
    </row>
    <row r="181" spans="1:21" ht="20.100000000000001" customHeight="1">
      <c r="A181" s="13"/>
      <c r="B181" s="13"/>
      <c r="C181" s="13"/>
      <c r="D181" s="13"/>
      <c r="E181" s="13"/>
      <c r="F181" s="13"/>
      <c r="G181" s="13"/>
      <c r="H181" s="16"/>
      <c r="I181" s="16"/>
      <c r="J181" s="16"/>
      <c r="K181" s="16"/>
      <c r="L181" s="16"/>
      <c r="M181" s="16"/>
      <c r="N181" s="13"/>
      <c r="O181" s="13"/>
      <c r="P181" s="13"/>
      <c r="Q181" s="13"/>
      <c r="R181" s="13"/>
      <c r="S181" s="31"/>
      <c r="T181" s="31"/>
      <c r="U181" s="31"/>
    </row>
    <row r="182" spans="1:21" ht="20.100000000000001" customHeight="1">
      <c r="A182" s="13"/>
      <c r="B182" s="13"/>
      <c r="C182" s="13"/>
      <c r="D182" s="13"/>
      <c r="E182" s="13"/>
      <c r="F182" s="13"/>
      <c r="G182" s="13"/>
      <c r="H182" s="16"/>
      <c r="I182" s="16"/>
      <c r="J182" s="16"/>
      <c r="K182" s="16"/>
      <c r="L182" s="16"/>
      <c r="M182" s="16"/>
      <c r="N182" s="13"/>
      <c r="O182" s="13"/>
      <c r="P182" s="13"/>
      <c r="Q182" s="13"/>
      <c r="R182" s="13"/>
      <c r="S182" s="31"/>
      <c r="T182" s="31"/>
      <c r="U182" s="31"/>
    </row>
    <row r="183" spans="1:21" ht="20.100000000000001" customHeight="1">
      <c r="A183" s="13"/>
      <c r="B183" s="13"/>
      <c r="C183" s="13"/>
      <c r="D183" s="13"/>
      <c r="E183" s="13"/>
      <c r="F183" s="13"/>
      <c r="G183" s="13"/>
      <c r="H183" s="16"/>
      <c r="I183" s="16"/>
      <c r="J183" s="16"/>
      <c r="K183" s="16"/>
      <c r="L183" s="16"/>
      <c r="M183" s="16"/>
      <c r="N183" s="13"/>
      <c r="O183" s="13"/>
      <c r="P183" s="13"/>
      <c r="Q183" s="13"/>
      <c r="R183" s="13"/>
      <c r="S183" s="31"/>
      <c r="T183" s="31"/>
      <c r="U183" s="31"/>
    </row>
    <row r="184" spans="1:21" ht="20.100000000000001" customHeight="1">
      <c r="A184" s="13"/>
      <c r="B184" s="13"/>
      <c r="C184" s="13"/>
      <c r="D184" s="13"/>
      <c r="E184" s="13"/>
      <c r="F184" s="13"/>
      <c r="G184" s="13"/>
      <c r="H184" s="16"/>
      <c r="I184" s="16"/>
      <c r="J184" s="16"/>
      <c r="K184" s="16"/>
      <c r="L184" s="16"/>
      <c r="M184" s="16"/>
      <c r="N184" s="13"/>
      <c r="O184" s="13"/>
      <c r="P184" s="13"/>
      <c r="Q184" s="13"/>
      <c r="R184" s="13"/>
      <c r="S184" s="31"/>
      <c r="T184" s="31"/>
      <c r="U184" s="31"/>
    </row>
    <row r="185" spans="1:21" ht="20.100000000000001" customHeight="1">
      <c r="A185" s="13"/>
      <c r="B185" s="13"/>
      <c r="C185" s="13"/>
      <c r="D185" s="13"/>
      <c r="E185" s="13"/>
      <c r="F185" s="13"/>
      <c r="G185" s="13"/>
      <c r="H185" s="16"/>
      <c r="I185" s="16"/>
      <c r="J185" s="16"/>
      <c r="K185" s="16"/>
      <c r="L185" s="16"/>
      <c r="M185" s="16"/>
      <c r="N185" s="13"/>
      <c r="O185" s="13"/>
      <c r="P185" s="13"/>
      <c r="Q185" s="13"/>
      <c r="R185" s="13"/>
      <c r="S185" s="31"/>
      <c r="T185" s="31"/>
      <c r="U185" s="31"/>
    </row>
    <row r="186" spans="1:21" ht="20.100000000000001" customHeight="1">
      <c r="A186" s="13"/>
      <c r="B186" s="13"/>
      <c r="C186" s="13"/>
      <c r="D186" s="13"/>
      <c r="E186" s="13"/>
      <c r="F186" s="13"/>
      <c r="G186" s="13"/>
      <c r="H186" s="16"/>
      <c r="I186" s="16"/>
      <c r="J186" s="16"/>
      <c r="K186" s="16"/>
      <c r="L186" s="16"/>
      <c r="M186" s="16"/>
      <c r="N186" s="13"/>
      <c r="O186" s="13"/>
      <c r="P186" s="13"/>
      <c r="Q186" s="13"/>
      <c r="R186" s="13"/>
      <c r="S186" s="31"/>
      <c r="T186" s="31"/>
      <c r="U186" s="31"/>
    </row>
    <row r="187" spans="1:21" ht="20.100000000000001" customHeight="1">
      <c r="A187" s="13"/>
      <c r="B187" s="13"/>
      <c r="C187" s="13"/>
      <c r="D187" s="13"/>
      <c r="E187" s="13"/>
      <c r="F187" s="13"/>
      <c r="G187" s="13"/>
      <c r="H187" s="16"/>
      <c r="I187" s="16"/>
      <c r="J187" s="16"/>
      <c r="K187" s="16"/>
      <c r="L187" s="16"/>
      <c r="M187" s="16"/>
      <c r="N187" s="13"/>
      <c r="O187" s="13"/>
      <c r="P187" s="13"/>
      <c r="Q187" s="13"/>
      <c r="R187" s="13"/>
      <c r="S187" s="31"/>
      <c r="T187" s="31"/>
      <c r="U187" s="31"/>
    </row>
    <row r="188" spans="1:21" ht="20.100000000000001" customHeight="1">
      <c r="A188" s="13"/>
      <c r="B188" s="13"/>
      <c r="C188" s="13"/>
      <c r="D188" s="13"/>
      <c r="E188" s="13"/>
      <c r="F188" s="13"/>
      <c r="G188" s="13"/>
      <c r="H188" s="16"/>
      <c r="I188" s="16"/>
      <c r="J188" s="16"/>
      <c r="K188" s="16"/>
      <c r="L188" s="16"/>
      <c r="M188" s="16"/>
      <c r="N188" s="13"/>
      <c r="O188" s="13"/>
      <c r="P188" s="13"/>
      <c r="Q188" s="13"/>
      <c r="R188" s="13"/>
      <c r="S188" s="31"/>
      <c r="T188" s="31"/>
      <c r="U188" s="31"/>
    </row>
    <row r="189" spans="1:21" ht="20.100000000000001" customHeight="1">
      <c r="A189" s="13"/>
      <c r="B189" s="13"/>
      <c r="C189" s="13"/>
      <c r="D189" s="13"/>
      <c r="E189" s="13"/>
      <c r="F189" s="13"/>
      <c r="G189" s="13"/>
      <c r="H189" s="16"/>
      <c r="I189" s="16"/>
      <c r="J189" s="16"/>
      <c r="K189" s="16"/>
      <c r="L189" s="16"/>
      <c r="M189" s="16"/>
      <c r="N189" s="13"/>
      <c r="O189" s="13"/>
      <c r="P189" s="13"/>
      <c r="Q189" s="13"/>
      <c r="R189" s="13"/>
      <c r="S189" s="31"/>
      <c r="T189" s="31"/>
      <c r="U189" s="31"/>
    </row>
    <row r="190" spans="1:21" ht="20.100000000000001" customHeight="1">
      <c r="A190" s="13"/>
      <c r="B190" s="13"/>
      <c r="C190" s="13"/>
      <c r="D190" s="13"/>
      <c r="E190" s="13"/>
      <c r="F190" s="13"/>
      <c r="G190" s="13"/>
      <c r="H190" s="16"/>
      <c r="I190" s="16"/>
      <c r="J190" s="16"/>
      <c r="K190" s="16"/>
      <c r="L190" s="16"/>
      <c r="M190" s="16"/>
      <c r="N190" s="13"/>
      <c r="O190" s="13"/>
      <c r="P190" s="13"/>
      <c r="Q190" s="13"/>
      <c r="R190" s="13"/>
      <c r="S190" s="31"/>
      <c r="T190" s="31"/>
      <c r="U190" s="31"/>
    </row>
    <row r="191" spans="1:21" ht="20.100000000000001" customHeight="1">
      <c r="A191" s="13"/>
      <c r="B191" s="13"/>
      <c r="C191" s="13"/>
      <c r="D191" s="13"/>
      <c r="E191" s="13"/>
      <c r="F191" s="13"/>
      <c r="G191" s="13"/>
      <c r="H191" s="16"/>
      <c r="I191" s="16"/>
      <c r="J191" s="16"/>
      <c r="K191" s="16"/>
      <c r="L191" s="16"/>
      <c r="M191" s="16"/>
      <c r="N191" s="13"/>
      <c r="O191" s="13"/>
      <c r="P191" s="13"/>
      <c r="Q191" s="13"/>
      <c r="R191" s="13"/>
      <c r="S191" s="31"/>
      <c r="T191" s="31"/>
      <c r="U191" s="31"/>
    </row>
    <row r="192" spans="1:21" ht="20.100000000000001" customHeight="1">
      <c r="A192" s="13"/>
      <c r="B192" s="13"/>
      <c r="C192" s="13"/>
      <c r="D192" s="13"/>
      <c r="E192" s="13"/>
      <c r="F192" s="13"/>
      <c r="G192" s="13"/>
      <c r="H192" s="16"/>
      <c r="I192" s="16"/>
      <c r="J192" s="16"/>
      <c r="K192" s="16"/>
      <c r="L192" s="16"/>
      <c r="M192" s="16"/>
      <c r="N192" s="13"/>
      <c r="O192" s="13"/>
      <c r="P192" s="13"/>
      <c r="Q192" s="13"/>
      <c r="R192" s="13"/>
      <c r="S192" s="31"/>
      <c r="T192" s="31"/>
      <c r="U192" s="31"/>
    </row>
    <row r="193" spans="1:21" ht="20.100000000000001" customHeight="1">
      <c r="A193" s="13"/>
      <c r="B193" s="13"/>
      <c r="C193" s="13"/>
      <c r="D193" s="13"/>
      <c r="E193" s="13"/>
      <c r="F193" s="13"/>
      <c r="G193" s="13"/>
      <c r="H193" s="16"/>
      <c r="I193" s="16"/>
      <c r="J193" s="16"/>
      <c r="K193" s="16"/>
      <c r="L193" s="16"/>
      <c r="M193" s="16"/>
      <c r="N193" s="13"/>
      <c r="O193" s="13"/>
      <c r="P193" s="13"/>
      <c r="Q193" s="13"/>
      <c r="R193" s="13"/>
      <c r="S193" s="31"/>
      <c r="T193" s="31"/>
      <c r="U193" s="31"/>
    </row>
    <row r="194" spans="1:21" ht="20.100000000000001" customHeight="1">
      <c r="A194" s="13"/>
      <c r="B194" s="13"/>
      <c r="C194" s="13"/>
      <c r="D194" s="13"/>
      <c r="E194" s="13"/>
      <c r="F194" s="13"/>
      <c r="G194" s="13"/>
      <c r="H194" s="16"/>
      <c r="I194" s="16"/>
      <c r="J194" s="16"/>
      <c r="K194" s="16"/>
      <c r="L194" s="16"/>
      <c r="M194" s="16"/>
      <c r="N194" s="13"/>
      <c r="O194" s="13"/>
      <c r="P194" s="13"/>
      <c r="Q194" s="13"/>
      <c r="R194" s="13"/>
      <c r="S194" s="31"/>
      <c r="T194" s="31"/>
      <c r="U194" s="31"/>
    </row>
    <row r="195" spans="1:21" ht="20.100000000000001" customHeight="1">
      <c r="A195" s="13"/>
      <c r="B195" s="13"/>
      <c r="C195" s="13"/>
      <c r="D195" s="13"/>
      <c r="E195" s="13"/>
      <c r="F195" s="13"/>
      <c r="G195" s="13"/>
      <c r="H195" s="16"/>
      <c r="I195" s="16"/>
      <c r="J195" s="16"/>
      <c r="K195" s="16"/>
      <c r="L195" s="16"/>
      <c r="M195" s="16"/>
      <c r="N195" s="13"/>
      <c r="O195" s="13"/>
      <c r="P195" s="13"/>
      <c r="Q195" s="13"/>
      <c r="R195" s="13"/>
      <c r="S195" s="31"/>
      <c r="T195" s="31"/>
      <c r="U195" s="31"/>
    </row>
    <row r="196" spans="1:21" ht="20.100000000000001" customHeight="1">
      <c r="A196" s="13"/>
      <c r="B196" s="13"/>
      <c r="C196" s="13"/>
      <c r="D196" s="13"/>
      <c r="E196" s="13"/>
      <c r="F196" s="13"/>
      <c r="G196" s="13"/>
      <c r="H196" s="16"/>
      <c r="I196" s="16"/>
      <c r="J196" s="16"/>
      <c r="K196" s="16"/>
      <c r="L196" s="16"/>
      <c r="M196" s="16"/>
      <c r="N196" s="13"/>
      <c r="O196" s="13"/>
      <c r="P196" s="13"/>
      <c r="Q196" s="13"/>
      <c r="R196" s="13"/>
      <c r="S196" s="31"/>
      <c r="T196" s="31"/>
      <c r="U196" s="31"/>
    </row>
    <row r="197" spans="1:21" ht="20.100000000000001" customHeight="1">
      <c r="A197" s="13"/>
      <c r="B197" s="13"/>
      <c r="C197" s="13"/>
      <c r="D197" s="13"/>
      <c r="E197" s="13"/>
      <c r="F197" s="13"/>
      <c r="G197" s="13"/>
      <c r="H197" s="16"/>
      <c r="I197" s="16"/>
      <c r="J197" s="16"/>
      <c r="K197" s="16"/>
      <c r="L197" s="16"/>
      <c r="M197" s="16"/>
      <c r="N197" s="13"/>
      <c r="O197" s="13"/>
      <c r="P197" s="13"/>
      <c r="Q197" s="13"/>
      <c r="R197" s="13"/>
      <c r="S197" s="31"/>
      <c r="T197" s="31"/>
      <c r="U197" s="31"/>
    </row>
    <row r="198" spans="1:21" ht="20.100000000000001" customHeight="1">
      <c r="A198" s="13"/>
      <c r="B198" s="13"/>
      <c r="C198" s="13"/>
      <c r="D198" s="13"/>
      <c r="E198" s="13"/>
      <c r="F198" s="13"/>
      <c r="G198" s="13"/>
      <c r="H198" s="16"/>
      <c r="I198" s="16"/>
      <c r="J198" s="16"/>
      <c r="K198" s="16"/>
      <c r="L198" s="16"/>
      <c r="M198" s="16"/>
      <c r="N198" s="13"/>
      <c r="O198" s="13"/>
      <c r="P198" s="13"/>
      <c r="Q198" s="13"/>
      <c r="R198" s="13"/>
      <c r="S198" s="31"/>
      <c r="T198" s="31"/>
      <c r="U198" s="31"/>
    </row>
    <row r="199" spans="1:21" ht="20.100000000000001" customHeight="1">
      <c r="A199" s="13"/>
      <c r="B199" s="13"/>
      <c r="C199" s="13"/>
      <c r="D199" s="13"/>
      <c r="E199" s="13"/>
      <c r="F199" s="13"/>
      <c r="G199" s="13"/>
      <c r="H199" s="16"/>
      <c r="I199" s="16"/>
      <c r="J199" s="16"/>
      <c r="K199" s="16"/>
      <c r="L199" s="16"/>
      <c r="M199" s="16"/>
      <c r="N199" s="13"/>
      <c r="O199" s="13"/>
      <c r="P199" s="13"/>
      <c r="Q199" s="13"/>
      <c r="R199" s="13"/>
      <c r="S199" s="31"/>
      <c r="T199" s="31"/>
      <c r="U199" s="31"/>
    </row>
    <row r="200" spans="1:21" ht="20.100000000000001" customHeight="1">
      <c r="A200" s="13"/>
      <c r="B200" s="13"/>
      <c r="C200" s="13"/>
      <c r="D200" s="13"/>
      <c r="E200" s="13"/>
      <c r="F200" s="13"/>
      <c r="G200" s="13"/>
      <c r="H200" s="16"/>
      <c r="I200" s="16"/>
      <c r="J200" s="16"/>
      <c r="K200" s="16"/>
      <c r="L200" s="16"/>
      <c r="M200" s="16"/>
      <c r="N200" s="13"/>
      <c r="O200" s="13"/>
      <c r="P200" s="13"/>
      <c r="Q200" s="13"/>
      <c r="R200" s="13"/>
      <c r="S200" s="31"/>
      <c r="T200" s="31"/>
      <c r="U200" s="31"/>
    </row>
    <row r="201" spans="1:21" ht="20.100000000000001" customHeight="1">
      <c r="A201" s="13"/>
      <c r="B201" s="13"/>
      <c r="C201" s="13"/>
      <c r="D201" s="13"/>
      <c r="E201" s="13"/>
      <c r="F201" s="13"/>
      <c r="G201" s="13"/>
      <c r="H201" s="16"/>
      <c r="I201" s="16"/>
      <c r="J201" s="16"/>
      <c r="K201" s="16"/>
      <c r="L201" s="16"/>
      <c r="M201" s="16"/>
      <c r="N201" s="13"/>
      <c r="O201" s="13"/>
      <c r="P201" s="13"/>
      <c r="Q201" s="13"/>
      <c r="R201" s="13"/>
      <c r="S201" s="31"/>
      <c r="T201" s="31"/>
      <c r="U201" s="31"/>
    </row>
    <row r="202" spans="1:21" ht="20.100000000000001" customHeight="1">
      <c r="A202" s="13"/>
      <c r="B202" s="13"/>
      <c r="C202" s="13"/>
      <c r="D202" s="13"/>
      <c r="E202" s="13"/>
      <c r="F202" s="13"/>
      <c r="G202" s="13"/>
      <c r="H202" s="16"/>
      <c r="I202" s="16"/>
      <c r="J202" s="16"/>
      <c r="K202" s="16"/>
      <c r="L202" s="16"/>
      <c r="M202" s="16"/>
      <c r="N202" s="13"/>
      <c r="O202" s="13"/>
      <c r="P202" s="13"/>
      <c r="Q202" s="13"/>
      <c r="R202" s="13"/>
      <c r="S202" s="31"/>
      <c r="T202" s="31"/>
      <c r="U202" s="31"/>
    </row>
    <row r="203" spans="1:21" ht="20.100000000000001" customHeight="1">
      <c r="A203" s="13"/>
      <c r="B203" s="13"/>
      <c r="C203" s="13"/>
      <c r="D203" s="13"/>
      <c r="E203" s="13"/>
      <c r="F203" s="13"/>
      <c r="G203" s="13"/>
      <c r="H203" s="16"/>
      <c r="I203" s="16"/>
      <c r="J203" s="16"/>
      <c r="K203" s="16"/>
      <c r="L203" s="16"/>
      <c r="M203" s="16"/>
      <c r="N203" s="13"/>
      <c r="O203" s="13"/>
      <c r="P203" s="13"/>
      <c r="Q203" s="13"/>
      <c r="R203" s="13"/>
      <c r="S203" s="31"/>
      <c r="T203" s="31"/>
      <c r="U203" s="31"/>
    </row>
    <row r="204" spans="1:21" ht="20.100000000000001" customHeight="1">
      <c r="A204" s="13"/>
      <c r="B204" s="13"/>
      <c r="C204" s="13"/>
      <c r="D204" s="13"/>
      <c r="E204" s="13"/>
      <c r="F204" s="13"/>
      <c r="G204" s="13"/>
      <c r="H204" s="16"/>
      <c r="I204" s="16"/>
      <c r="J204" s="16"/>
      <c r="K204" s="16"/>
      <c r="L204" s="16"/>
      <c r="M204" s="16"/>
      <c r="N204" s="13"/>
      <c r="O204" s="13"/>
      <c r="P204" s="13"/>
      <c r="Q204" s="13"/>
      <c r="R204" s="13"/>
      <c r="S204" s="31"/>
      <c r="T204" s="31"/>
      <c r="U204" s="31"/>
    </row>
    <row r="205" spans="1:21" ht="20.100000000000001" customHeight="1">
      <c r="A205" s="14"/>
      <c r="B205" s="14"/>
      <c r="C205" s="14"/>
      <c r="D205" s="14"/>
      <c r="E205" s="14"/>
      <c r="F205" s="14"/>
      <c r="G205" s="14"/>
      <c r="H205" s="17"/>
      <c r="I205" s="17"/>
      <c r="J205" s="17"/>
      <c r="K205" s="17"/>
      <c r="L205" s="17"/>
      <c r="M205" s="17"/>
      <c r="N205" s="14"/>
      <c r="O205" s="14"/>
      <c r="P205" s="14"/>
      <c r="Q205" s="14"/>
      <c r="R205" s="14"/>
      <c r="S205" s="31"/>
      <c r="T205" s="31"/>
      <c r="U205" s="3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Listák!$A$2:$A$12</xm:f>
          </x14:formula1>
          <xm:sqref>F6:F205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2:U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2" width="18" customWidth="1"/>
    <col min="3" max="3" width="30" customWidth="1"/>
    <col min="4" max="5" width="22" customWidth="1"/>
    <col min="6" max="6" width="18" customWidth="1"/>
    <col min="7" max="7" width="24" customWidth="1"/>
    <col min="8" max="8" width="16" customWidth="1"/>
    <col min="9" max="9" width="20" customWidth="1"/>
    <col min="10" max="10" width="12" customWidth="1"/>
    <col min="11" max="11" width="16" customWidth="1"/>
    <col min="12" max="12" width="14" customWidth="1"/>
    <col min="13" max="13" width="16" customWidth="1"/>
    <col min="14" max="15" width="25" customWidth="1"/>
    <col min="16" max="16" width="34" customWidth="1"/>
  </cols>
  <sheetData>
    <row r="2" spans="1:21" ht="19.5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>
      <c r="A3" s="3" t="s">
        <v>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spans="1:21" ht="42" customHeight="1">
      <c r="A5" s="9" t="s">
        <v>39</v>
      </c>
      <c r="B5" s="10" t="s">
        <v>20</v>
      </c>
      <c r="C5" s="10" t="s">
        <v>21</v>
      </c>
      <c r="D5" s="10" t="s">
        <v>40</v>
      </c>
      <c r="E5" s="10" t="s">
        <v>41</v>
      </c>
      <c r="F5" s="10" t="s">
        <v>42</v>
      </c>
      <c r="G5" s="10" t="s">
        <v>43</v>
      </c>
      <c r="H5" s="10" t="s">
        <v>44</v>
      </c>
      <c r="I5" s="10" t="s">
        <v>45</v>
      </c>
      <c r="J5" s="10" t="s">
        <v>46</v>
      </c>
      <c r="K5" s="10" t="s">
        <v>47</v>
      </c>
      <c r="L5" s="10" t="s">
        <v>48</v>
      </c>
      <c r="M5" s="10" t="s">
        <v>49</v>
      </c>
      <c r="N5" s="10" t="s">
        <v>50</v>
      </c>
      <c r="O5" s="10" t="s">
        <v>51</v>
      </c>
      <c r="P5" s="11" t="s">
        <v>37</v>
      </c>
    </row>
    <row r="6" spans="1:21" ht="20.100000000000001" customHeight="1">
      <c r="A6" s="12"/>
      <c r="B6" s="12"/>
      <c r="C6" s="12"/>
      <c r="D6" s="12"/>
      <c r="E6" s="12"/>
      <c r="F6" s="18"/>
      <c r="G6" s="12"/>
      <c r="H6" s="12"/>
      <c r="I6" s="12"/>
      <c r="J6" s="18"/>
      <c r="K6" s="18"/>
      <c r="L6" s="18"/>
      <c r="M6" s="12"/>
      <c r="N6" s="12"/>
      <c r="O6" s="12"/>
      <c r="P6" s="12"/>
      <c r="Q6" s="31"/>
      <c r="R6" s="31"/>
      <c r="S6" s="31"/>
      <c r="T6" s="31"/>
      <c r="U6" s="31"/>
    </row>
    <row r="7" spans="1:21" ht="20.100000000000001" customHeight="1">
      <c r="A7" s="13"/>
      <c r="B7" s="13"/>
      <c r="C7" s="13"/>
      <c r="D7" s="13"/>
      <c r="E7" s="13"/>
      <c r="F7" s="19"/>
      <c r="G7" s="13"/>
      <c r="H7" s="13"/>
      <c r="I7" s="13"/>
      <c r="J7" s="19"/>
      <c r="K7" s="19"/>
      <c r="L7" s="19"/>
      <c r="M7" s="13"/>
      <c r="N7" s="13"/>
      <c r="O7" s="13"/>
      <c r="P7" s="13"/>
      <c r="Q7" s="31"/>
      <c r="R7" s="31"/>
      <c r="S7" s="31"/>
      <c r="T7" s="31"/>
      <c r="U7" s="31"/>
    </row>
    <row r="8" spans="1:21" ht="20.100000000000001" customHeight="1">
      <c r="A8" s="13"/>
      <c r="B8" s="13"/>
      <c r="C8" s="13"/>
      <c r="D8" s="13"/>
      <c r="E8" s="13"/>
      <c r="F8" s="19"/>
      <c r="G8" s="13"/>
      <c r="H8" s="13"/>
      <c r="I8" s="13"/>
      <c r="J8" s="19"/>
      <c r="K8" s="19"/>
      <c r="L8" s="19"/>
      <c r="M8" s="13"/>
      <c r="N8" s="13"/>
      <c r="O8" s="13"/>
      <c r="P8" s="13"/>
      <c r="Q8" s="31"/>
      <c r="R8" s="31"/>
      <c r="S8" s="31"/>
      <c r="T8" s="31"/>
      <c r="U8" s="31"/>
    </row>
    <row r="9" spans="1:21" ht="20.100000000000001" customHeight="1">
      <c r="A9" s="13"/>
      <c r="B9" s="13"/>
      <c r="C9" s="13"/>
      <c r="D9" s="13"/>
      <c r="E9" s="13"/>
      <c r="F9" s="19"/>
      <c r="G9" s="13"/>
      <c r="H9" s="13"/>
      <c r="I9" s="13"/>
      <c r="J9" s="19"/>
      <c r="K9" s="19"/>
      <c r="L9" s="19"/>
      <c r="M9" s="13"/>
      <c r="N9" s="13"/>
      <c r="O9" s="13"/>
      <c r="P9" s="13"/>
      <c r="Q9" s="31"/>
      <c r="R9" s="31"/>
      <c r="S9" s="31"/>
      <c r="T9" s="31"/>
      <c r="U9" s="31"/>
    </row>
    <row r="10" spans="1:21" ht="20.100000000000001" customHeight="1">
      <c r="A10" s="13"/>
      <c r="B10" s="13"/>
      <c r="C10" s="13"/>
      <c r="D10" s="13"/>
      <c r="E10" s="13"/>
      <c r="F10" s="19"/>
      <c r="G10" s="13"/>
      <c r="H10" s="13"/>
      <c r="I10" s="13"/>
      <c r="J10" s="19"/>
      <c r="K10" s="19"/>
      <c r="L10" s="19"/>
      <c r="M10" s="13"/>
      <c r="N10" s="13"/>
      <c r="O10" s="13"/>
      <c r="P10" s="13"/>
      <c r="Q10" s="31"/>
      <c r="R10" s="31"/>
      <c r="S10" s="31"/>
      <c r="T10" s="31"/>
      <c r="U10" s="31"/>
    </row>
    <row r="11" spans="1:21" ht="20.100000000000001" customHeight="1">
      <c r="A11" s="13"/>
      <c r="B11" s="13"/>
      <c r="C11" s="13"/>
      <c r="D11" s="13"/>
      <c r="E11" s="13"/>
      <c r="F11" s="19"/>
      <c r="G11" s="13"/>
      <c r="H11" s="13"/>
      <c r="I11" s="13"/>
      <c r="J11" s="19"/>
      <c r="K11" s="19"/>
      <c r="L11" s="19"/>
      <c r="M11" s="13"/>
      <c r="N11" s="13"/>
      <c r="O11" s="13"/>
      <c r="P11" s="13"/>
      <c r="Q11" s="31"/>
      <c r="R11" s="31"/>
      <c r="S11" s="31"/>
      <c r="T11" s="31"/>
      <c r="U11" s="31"/>
    </row>
    <row r="12" spans="1:21" ht="20.100000000000001" customHeight="1">
      <c r="A12" s="13"/>
      <c r="B12" s="13"/>
      <c r="C12" s="13"/>
      <c r="D12" s="13"/>
      <c r="E12" s="13"/>
      <c r="F12" s="19"/>
      <c r="G12" s="13"/>
      <c r="H12" s="13"/>
      <c r="I12" s="13"/>
      <c r="J12" s="19"/>
      <c r="K12" s="19"/>
      <c r="L12" s="19"/>
      <c r="M12" s="13"/>
      <c r="N12" s="13"/>
      <c r="O12" s="13"/>
      <c r="P12" s="13"/>
      <c r="Q12" s="31"/>
      <c r="R12" s="31"/>
      <c r="S12" s="31"/>
      <c r="T12" s="31"/>
      <c r="U12" s="31"/>
    </row>
    <row r="13" spans="1:21" ht="20.100000000000001" customHeight="1">
      <c r="A13" s="13"/>
      <c r="B13" s="13"/>
      <c r="C13" s="13"/>
      <c r="D13" s="13"/>
      <c r="E13" s="13"/>
      <c r="F13" s="19"/>
      <c r="G13" s="13"/>
      <c r="H13" s="13"/>
      <c r="I13" s="13"/>
      <c r="J13" s="19"/>
      <c r="K13" s="19"/>
      <c r="L13" s="19"/>
      <c r="M13" s="13"/>
      <c r="N13" s="13"/>
      <c r="O13" s="13"/>
      <c r="P13" s="13"/>
      <c r="Q13" s="31"/>
      <c r="R13" s="31"/>
      <c r="S13" s="31"/>
      <c r="T13" s="31"/>
      <c r="U13" s="31"/>
    </row>
    <row r="14" spans="1:21" ht="20.100000000000001" customHeight="1">
      <c r="A14" s="13"/>
      <c r="B14" s="13"/>
      <c r="C14" s="13"/>
      <c r="D14" s="13"/>
      <c r="E14" s="13"/>
      <c r="F14" s="19"/>
      <c r="G14" s="13"/>
      <c r="H14" s="13"/>
      <c r="I14" s="13"/>
      <c r="J14" s="19"/>
      <c r="K14" s="19"/>
      <c r="L14" s="19"/>
      <c r="M14" s="13"/>
      <c r="N14" s="13"/>
      <c r="O14" s="13"/>
      <c r="P14" s="13"/>
      <c r="Q14" s="31"/>
      <c r="R14" s="31"/>
      <c r="S14" s="31"/>
      <c r="T14" s="31"/>
      <c r="U14" s="31"/>
    </row>
    <row r="15" spans="1:21" ht="20.100000000000001" customHeight="1">
      <c r="A15" s="13"/>
      <c r="B15" s="13"/>
      <c r="C15" s="13"/>
      <c r="D15" s="13"/>
      <c r="E15" s="13"/>
      <c r="F15" s="19"/>
      <c r="G15" s="13"/>
      <c r="H15" s="13"/>
      <c r="I15" s="13"/>
      <c r="J15" s="19"/>
      <c r="K15" s="19"/>
      <c r="L15" s="19"/>
      <c r="M15" s="13"/>
      <c r="N15" s="13"/>
      <c r="O15" s="13"/>
      <c r="P15" s="13"/>
      <c r="Q15" s="31"/>
      <c r="R15" s="31"/>
      <c r="S15" s="31"/>
      <c r="T15" s="31"/>
      <c r="U15" s="31"/>
    </row>
    <row r="16" spans="1:21" ht="20.100000000000001" customHeight="1">
      <c r="A16" s="13"/>
      <c r="B16" s="13"/>
      <c r="C16" s="13"/>
      <c r="D16" s="13"/>
      <c r="E16" s="13"/>
      <c r="F16" s="19"/>
      <c r="G16" s="13"/>
      <c r="H16" s="13"/>
      <c r="I16" s="13"/>
      <c r="J16" s="19"/>
      <c r="K16" s="19"/>
      <c r="L16" s="19"/>
      <c r="M16" s="13"/>
      <c r="N16" s="13"/>
      <c r="O16" s="13"/>
      <c r="P16" s="13"/>
      <c r="Q16" s="31"/>
      <c r="R16" s="31"/>
      <c r="S16" s="31"/>
      <c r="T16" s="31"/>
      <c r="U16" s="31"/>
    </row>
    <row r="17" spans="1:21" ht="20.100000000000001" customHeight="1">
      <c r="A17" s="13"/>
      <c r="B17" s="13"/>
      <c r="C17" s="13"/>
      <c r="D17" s="13"/>
      <c r="E17" s="13"/>
      <c r="F17" s="19"/>
      <c r="G17" s="13"/>
      <c r="H17" s="13"/>
      <c r="I17" s="13"/>
      <c r="J17" s="19"/>
      <c r="K17" s="19"/>
      <c r="L17" s="19"/>
      <c r="M17" s="13"/>
      <c r="N17" s="13"/>
      <c r="O17" s="13"/>
      <c r="P17" s="13"/>
      <c r="Q17" s="31"/>
      <c r="R17" s="31"/>
      <c r="S17" s="31"/>
      <c r="T17" s="31"/>
      <c r="U17" s="31"/>
    </row>
    <row r="18" spans="1:21" ht="20.100000000000001" customHeight="1">
      <c r="A18" s="13"/>
      <c r="B18" s="13"/>
      <c r="C18" s="13"/>
      <c r="D18" s="13"/>
      <c r="E18" s="13"/>
      <c r="F18" s="19"/>
      <c r="G18" s="13"/>
      <c r="H18" s="13"/>
      <c r="I18" s="13"/>
      <c r="J18" s="19"/>
      <c r="K18" s="19"/>
      <c r="L18" s="19"/>
      <c r="M18" s="13"/>
      <c r="N18" s="13"/>
      <c r="O18" s="13"/>
      <c r="P18" s="13"/>
      <c r="Q18" s="31"/>
      <c r="R18" s="31"/>
      <c r="S18" s="31"/>
      <c r="T18" s="31"/>
      <c r="U18" s="31"/>
    </row>
    <row r="19" spans="1:21" ht="20.100000000000001" customHeight="1">
      <c r="A19" s="13"/>
      <c r="B19" s="13"/>
      <c r="C19" s="13"/>
      <c r="D19" s="13"/>
      <c r="E19" s="13"/>
      <c r="F19" s="19"/>
      <c r="G19" s="13"/>
      <c r="H19" s="13"/>
      <c r="I19" s="13"/>
      <c r="J19" s="19"/>
      <c r="K19" s="19"/>
      <c r="L19" s="19"/>
      <c r="M19" s="13"/>
      <c r="N19" s="13"/>
      <c r="O19" s="13"/>
      <c r="P19" s="13"/>
      <c r="Q19" s="31"/>
      <c r="R19" s="31"/>
      <c r="S19" s="31"/>
      <c r="T19" s="31"/>
      <c r="U19" s="31"/>
    </row>
    <row r="20" spans="1:21" ht="20.100000000000001" customHeight="1">
      <c r="A20" s="13"/>
      <c r="B20" s="13"/>
      <c r="C20" s="13"/>
      <c r="D20" s="13"/>
      <c r="E20" s="13"/>
      <c r="F20" s="19"/>
      <c r="G20" s="13"/>
      <c r="H20" s="13"/>
      <c r="I20" s="13"/>
      <c r="J20" s="19"/>
      <c r="K20" s="19"/>
      <c r="L20" s="19"/>
      <c r="M20" s="13"/>
      <c r="N20" s="13"/>
      <c r="O20" s="13"/>
      <c r="P20" s="13"/>
      <c r="Q20" s="31"/>
      <c r="R20" s="31"/>
      <c r="S20" s="31"/>
      <c r="T20" s="31"/>
      <c r="U20" s="31"/>
    </row>
    <row r="21" spans="1:21" ht="20.100000000000001" customHeight="1">
      <c r="A21" s="13"/>
      <c r="B21" s="13"/>
      <c r="C21" s="13"/>
      <c r="D21" s="13"/>
      <c r="E21" s="13"/>
      <c r="F21" s="19"/>
      <c r="G21" s="13"/>
      <c r="H21" s="13"/>
      <c r="I21" s="13"/>
      <c r="J21" s="19"/>
      <c r="K21" s="19"/>
      <c r="L21" s="19"/>
      <c r="M21" s="13"/>
      <c r="N21" s="13"/>
      <c r="O21" s="13"/>
      <c r="P21" s="13"/>
      <c r="Q21" s="31"/>
      <c r="R21" s="31"/>
      <c r="S21" s="31"/>
      <c r="T21" s="31"/>
      <c r="U21" s="31"/>
    </row>
    <row r="22" spans="1:21" ht="20.100000000000001" customHeight="1">
      <c r="A22" s="13"/>
      <c r="B22" s="13"/>
      <c r="C22" s="13"/>
      <c r="D22" s="13"/>
      <c r="E22" s="13"/>
      <c r="F22" s="19"/>
      <c r="G22" s="13"/>
      <c r="H22" s="13"/>
      <c r="I22" s="13"/>
      <c r="J22" s="19"/>
      <c r="K22" s="19"/>
      <c r="L22" s="19"/>
      <c r="M22" s="13"/>
      <c r="N22" s="13"/>
      <c r="O22" s="13"/>
      <c r="P22" s="13"/>
      <c r="Q22" s="31"/>
      <c r="R22" s="31"/>
      <c r="S22" s="31"/>
      <c r="T22" s="31"/>
      <c r="U22" s="31"/>
    </row>
    <row r="23" spans="1:21" ht="20.100000000000001" customHeight="1">
      <c r="A23" s="13"/>
      <c r="B23" s="13"/>
      <c r="C23" s="13"/>
      <c r="D23" s="13"/>
      <c r="E23" s="13"/>
      <c r="F23" s="19"/>
      <c r="G23" s="13"/>
      <c r="H23" s="13"/>
      <c r="I23" s="13"/>
      <c r="J23" s="19"/>
      <c r="K23" s="19"/>
      <c r="L23" s="19"/>
      <c r="M23" s="13"/>
      <c r="N23" s="13"/>
      <c r="O23" s="13"/>
      <c r="P23" s="13"/>
      <c r="Q23" s="31"/>
      <c r="R23" s="31"/>
      <c r="S23" s="31"/>
      <c r="T23" s="31"/>
      <c r="U23" s="31"/>
    </row>
    <row r="24" spans="1:21" ht="20.100000000000001" customHeight="1">
      <c r="A24" s="13"/>
      <c r="B24" s="13"/>
      <c r="C24" s="13"/>
      <c r="D24" s="13"/>
      <c r="E24" s="13"/>
      <c r="F24" s="19"/>
      <c r="G24" s="13"/>
      <c r="H24" s="13"/>
      <c r="I24" s="13"/>
      <c r="J24" s="19"/>
      <c r="K24" s="19"/>
      <c r="L24" s="19"/>
      <c r="M24" s="13"/>
      <c r="N24" s="13"/>
      <c r="O24" s="13"/>
      <c r="P24" s="13"/>
      <c r="Q24" s="31"/>
      <c r="R24" s="31"/>
      <c r="S24" s="31"/>
      <c r="T24" s="31"/>
      <c r="U24" s="31"/>
    </row>
    <row r="25" spans="1:21" ht="20.100000000000001" customHeight="1">
      <c r="A25" s="13"/>
      <c r="B25" s="13"/>
      <c r="C25" s="13"/>
      <c r="D25" s="13"/>
      <c r="E25" s="13"/>
      <c r="F25" s="19"/>
      <c r="G25" s="13"/>
      <c r="H25" s="13"/>
      <c r="I25" s="13"/>
      <c r="J25" s="19"/>
      <c r="K25" s="19"/>
      <c r="L25" s="19"/>
      <c r="M25" s="13"/>
      <c r="N25" s="13"/>
      <c r="O25" s="13"/>
      <c r="P25" s="13"/>
      <c r="Q25" s="31"/>
      <c r="R25" s="31"/>
      <c r="S25" s="31"/>
      <c r="T25" s="31"/>
      <c r="U25" s="31"/>
    </row>
    <row r="26" spans="1:21" ht="20.100000000000001" customHeight="1">
      <c r="A26" s="13"/>
      <c r="B26" s="13"/>
      <c r="C26" s="13"/>
      <c r="D26" s="13"/>
      <c r="E26" s="13"/>
      <c r="F26" s="19"/>
      <c r="G26" s="13"/>
      <c r="H26" s="13"/>
      <c r="I26" s="13"/>
      <c r="J26" s="19"/>
      <c r="K26" s="19"/>
      <c r="L26" s="19"/>
      <c r="M26" s="13"/>
      <c r="N26" s="13"/>
      <c r="O26" s="13"/>
      <c r="P26" s="13"/>
      <c r="Q26" s="31"/>
      <c r="R26" s="31"/>
      <c r="S26" s="31"/>
      <c r="T26" s="31"/>
      <c r="U26" s="31"/>
    </row>
    <row r="27" spans="1:21" ht="20.100000000000001" customHeight="1">
      <c r="A27" s="13"/>
      <c r="B27" s="13"/>
      <c r="C27" s="13"/>
      <c r="D27" s="13"/>
      <c r="E27" s="13"/>
      <c r="F27" s="19"/>
      <c r="G27" s="13"/>
      <c r="H27" s="13"/>
      <c r="I27" s="13"/>
      <c r="J27" s="19"/>
      <c r="K27" s="19"/>
      <c r="L27" s="19"/>
      <c r="M27" s="13"/>
      <c r="N27" s="13"/>
      <c r="O27" s="13"/>
      <c r="P27" s="13"/>
      <c r="Q27" s="31"/>
      <c r="R27" s="31"/>
      <c r="S27" s="31"/>
      <c r="T27" s="31"/>
      <c r="U27" s="31"/>
    </row>
    <row r="28" spans="1:21" ht="20.100000000000001" customHeight="1">
      <c r="A28" s="13"/>
      <c r="B28" s="13"/>
      <c r="C28" s="13"/>
      <c r="D28" s="13"/>
      <c r="E28" s="13"/>
      <c r="F28" s="19"/>
      <c r="G28" s="13"/>
      <c r="H28" s="13"/>
      <c r="I28" s="13"/>
      <c r="J28" s="19"/>
      <c r="K28" s="19"/>
      <c r="L28" s="19"/>
      <c r="M28" s="13"/>
      <c r="N28" s="13"/>
      <c r="O28" s="13"/>
      <c r="P28" s="13"/>
      <c r="Q28" s="31"/>
      <c r="R28" s="31"/>
      <c r="S28" s="31"/>
      <c r="T28" s="31"/>
      <c r="U28" s="31"/>
    </row>
    <row r="29" spans="1:21" ht="20.100000000000001" customHeight="1">
      <c r="A29" s="13"/>
      <c r="B29" s="13"/>
      <c r="C29" s="13"/>
      <c r="D29" s="13"/>
      <c r="E29" s="13"/>
      <c r="F29" s="19"/>
      <c r="G29" s="13"/>
      <c r="H29" s="13"/>
      <c r="I29" s="13"/>
      <c r="J29" s="19"/>
      <c r="K29" s="19"/>
      <c r="L29" s="19"/>
      <c r="M29" s="13"/>
      <c r="N29" s="13"/>
      <c r="O29" s="13"/>
      <c r="P29" s="13"/>
      <c r="Q29" s="31"/>
      <c r="R29" s="31"/>
      <c r="S29" s="31"/>
      <c r="T29" s="31"/>
      <c r="U29" s="31"/>
    </row>
    <row r="30" spans="1:21" ht="20.100000000000001" customHeight="1">
      <c r="A30" s="13"/>
      <c r="B30" s="13"/>
      <c r="C30" s="13"/>
      <c r="D30" s="13"/>
      <c r="E30" s="13"/>
      <c r="F30" s="19"/>
      <c r="G30" s="13"/>
      <c r="H30" s="13"/>
      <c r="I30" s="13"/>
      <c r="J30" s="19"/>
      <c r="K30" s="19"/>
      <c r="L30" s="19"/>
      <c r="M30" s="13"/>
      <c r="N30" s="13"/>
      <c r="O30" s="13"/>
      <c r="P30" s="13"/>
      <c r="Q30" s="31"/>
      <c r="R30" s="31"/>
      <c r="S30" s="31"/>
      <c r="T30" s="31"/>
      <c r="U30" s="31"/>
    </row>
    <row r="31" spans="1:21" ht="20.100000000000001" customHeight="1">
      <c r="A31" s="13"/>
      <c r="B31" s="13"/>
      <c r="C31" s="13"/>
      <c r="D31" s="13"/>
      <c r="E31" s="13"/>
      <c r="F31" s="19"/>
      <c r="G31" s="13"/>
      <c r="H31" s="13"/>
      <c r="I31" s="13"/>
      <c r="J31" s="19"/>
      <c r="K31" s="19"/>
      <c r="L31" s="19"/>
      <c r="M31" s="13"/>
      <c r="N31" s="13"/>
      <c r="O31" s="13"/>
      <c r="P31" s="13"/>
      <c r="Q31" s="31"/>
      <c r="R31" s="31"/>
      <c r="S31" s="31"/>
      <c r="T31" s="31"/>
      <c r="U31" s="31"/>
    </row>
    <row r="32" spans="1:21" ht="20.100000000000001" customHeight="1">
      <c r="A32" s="13"/>
      <c r="B32" s="13"/>
      <c r="C32" s="13"/>
      <c r="D32" s="13"/>
      <c r="E32" s="13"/>
      <c r="F32" s="19"/>
      <c r="G32" s="13"/>
      <c r="H32" s="13"/>
      <c r="I32" s="13"/>
      <c r="J32" s="19"/>
      <c r="K32" s="19"/>
      <c r="L32" s="19"/>
      <c r="M32" s="13"/>
      <c r="N32" s="13"/>
      <c r="O32" s="13"/>
      <c r="P32" s="13"/>
      <c r="Q32" s="31"/>
      <c r="R32" s="31"/>
      <c r="S32" s="31"/>
      <c r="T32" s="31"/>
      <c r="U32" s="31"/>
    </row>
    <row r="33" spans="1:21" ht="20.100000000000001" customHeight="1">
      <c r="A33" s="13"/>
      <c r="B33" s="13"/>
      <c r="C33" s="13"/>
      <c r="D33" s="13"/>
      <c r="E33" s="13"/>
      <c r="F33" s="19"/>
      <c r="G33" s="13"/>
      <c r="H33" s="13"/>
      <c r="I33" s="13"/>
      <c r="J33" s="19"/>
      <c r="K33" s="19"/>
      <c r="L33" s="19"/>
      <c r="M33" s="13"/>
      <c r="N33" s="13"/>
      <c r="O33" s="13"/>
      <c r="P33" s="13"/>
      <c r="Q33" s="31"/>
      <c r="R33" s="31"/>
      <c r="S33" s="31"/>
      <c r="T33" s="31"/>
      <c r="U33" s="31"/>
    </row>
    <row r="34" spans="1:21" ht="20.100000000000001" customHeight="1">
      <c r="A34" s="13"/>
      <c r="B34" s="13"/>
      <c r="C34" s="13"/>
      <c r="D34" s="13"/>
      <c r="E34" s="13"/>
      <c r="F34" s="19"/>
      <c r="G34" s="13"/>
      <c r="H34" s="13"/>
      <c r="I34" s="13"/>
      <c r="J34" s="19"/>
      <c r="K34" s="19"/>
      <c r="L34" s="19"/>
      <c r="M34" s="13"/>
      <c r="N34" s="13"/>
      <c r="O34" s="13"/>
      <c r="P34" s="13"/>
      <c r="Q34" s="31"/>
      <c r="R34" s="31"/>
      <c r="S34" s="31"/>
      <c r="T34" s="31"/>
      <c r="U34" s="31"/>
    </row>
    <row r="35" spans="1:21" ht="20.100000000000001" customHeight="1">
      <c r="A35" s="13"/>
      <c r="B35" s="13"/>
      <c r="C35" s="13"/>
      <c r="D35" s="13"/>
      <c r="E35" s="13"/>
      <c r="F35" s="19"/>
      <c r="G35" s="13"/>
      <c r="H35" s="13"/>
      <c r="I35" s="13"/>
      <c r="J35" s="19"/>
      <c r="K35" s="19"/>
      <c r="L35" s="19"/>
      <c r="M35" s="13"/>
      <c r="N35" s="13"/>
      <c r="O35" s="13"/>
      <c r="P35" s="13"/>
      <c r="Q35" s="31"/>
      <c r="R35" s="31"/>
      <c r="S35" s="31"/>
      <c r="T35" s="31"/>
      <c r="U35" s="31"/>
    </row>
    <row r="36" spans="1:21" ht="20.100000000000001" customHeight="1">
      <c r="A36" s="13"/>
      <c r="B36" s="13"/>
      <c r="C36" s="13"/>
      <c r="D36" s="13"/>
      <c r="E36" s="13"/>
      <c r="F36" s="19"/>
      <c r="G36" s="13"/>
      <c r="H36" s="13"/>
      <c r="I36" s="13"/>
      <c r="J36" s="19"/>
      <c r="K36" s="19"/>
      <c r="L36" s="19"/>
      <c r="M36" s="13"/>
      <c r="N36" s="13"/>
      <c r="O36" s="13"/>
      <c r="P36" s="13"/>
      <c r="Q36" s="31"/>
      <c r="R36" s="31"/>
      <c r="S36" s="31"/>
      <c r="T36" s="31"/>
      <c r="U36" s="31"/>
    </row>
    <row r="37" spans="1:21" ht="20.100000000000001" customHeight="1">
      <c r="A37" s="13"/>
      <c r="B37" s="13"/>
      <c r="C37" s="13"/>
      <c r="D37" s="13"/>
      <c r="E37" s="13"/>
      <c r="F37" s="19"/>
      <c r="G37" s="13"/>
      <c r="H37" s="13"/>
      <c r="I37" s="13"/>
      <c r="J37" s="19"/>
      <c r="K37" s="19"/>
      <c r="L37" s="19"/>
      <c r="M37" s="13"/>
      <c r="N37" s="13"/>
      <c r="O37" s="13"/>
      <c r="P37" s="13"/>
      <c r="Q37" s="31"/>
      <c r="R37" s="31"/>
      <c r="S37" s="31"/>
      <c r="T37" s="31"/>
      <c r="U37" s="31"/>
    </row>
    <row r="38" spans="1:21" ht="20.100000000000001" customHeight="1">
      <c r="A38" s="13"/>
      <c r="B38" s="13"/>
      <c r="C38" s="13"/>
      <c r="D38" s="13"/>
      <c r="E38" s="13"/>
      <c r="F38" s="19"/>
      <c r="G38" s="13"/>
      <c r="H38" s="13"/>
      <c r="I38" s="13"/>
      <c r="J38" s="19"/>
      <c r="K38" s="19"/>
      <c r="L38" s="19"/>
      <c r="M38" s="13"/>
      <c r="N38" s="13"/>
      <c r="O38" s="13"/>
      <c r="P38" s="13"/>
      <c r="Q38" s="31"/>
      <c r="R38" s="31"/>
      <c r="S38" s="31"/>
      <c r="T38" s="31"/>
      <c r="U38" s="31"/>
    </row>
    <row r="39" spans="1:21" ht="20.100000000000001" customHeight="1">
      <c r="A39" s="13"/>
      <c r="B39" s="13"/>
      <c r="C39" s="13"/>
      <c r="D39" s="13"/>
      <c r="E39" s="13"/>
      <c r="F39" s="19"/>
      <c r="G39" s="13"/>
      <c r="H39" s="13"/>
      <c r="I39" s="13"/>
      <c r="J39" s="19"/>
      <c r="K39" s="19"/>
      <c r="L39" s="19"/>
      <c r="M39" s="13"/>
      <c r="N39" s="13"/>
      <c r="O39" s="13"/>
      <c r="P39" s="13"/>
      <c r="Q39" s="31"/>
      <c r="R39" s="31"/>
      <c r="S39" s="31"/>
      <c r="T39" s="31"/>
      <c r="U39" s="31"/>
    </row>
    <row r="40" spans="1:21" ht="20.100000000000001" customHeight="1">
      <c r="A40" s="13"/>
      <c r="B40" s="13"/>
      <c r="C40" s="13"/>
      <c r="D40" s="13"/>
      <c r="E40" s="13"/>
      <c r="F40" s="19"/>
      <c r="G40" s="13"/>
      <c r="H40" s="13"/>
      <c r="I40" s="13"/>
      <c r="J40" s="19"/>
      <c r="K40" s="19"/>
      <c r="L40" s="19"/>
      <c r="M40" s="13"/>
      <c r="N40" s="13"/>
      <c r="O40" s="13"/>
      <c r="P40" s="13"/>
      <c r="Q40" s="31"/>
      <c r="R40" s="31"/>
      <c r="S40" s="31"/>
      <c r="T40" s="31"/>
      <c r="U40" s="31"/>
    </row>
    <row r="41" spans="1:21" ht="20.100000000000001" customHeight="1">
      <c r="A41" s="13"/>
      <c r="B41" s="13"/>
      <c r="C41" s="13"/>
      <c r="D41" s="13"/>
      <c r="E41" s="13"/>
      <c r="F41" s="19"/>
      <c r="G41" s="13"/>
      <c r="H41" s="13"/>
      <c r="I41" s="13"/>
      <c r="J41" s="19"/>
      <c r="K41" s="19"/>
      <c r="L41" s="19"/>
      <c r="M41" s="13"/>
      <c r="N41" s="13"/>
      <c r="O41" s="13"/>
      <c r="P41" s="13"/>
      <c r="Q41" s="31"/>
      <c r="R41" s="31"/>
      <c r="S41" s="31"/>
      <c r="T41" s="31"/>
      <c r="U41" s="31"/>
    </row>
    <row r="42" spans="1:21" ht="20.100000000000001" customHeight="1">
      <c r="A42" s="13"/>
      <c r="B42" s="13"/>
      <c r="C42" s="13"/>
      <c r="D42" s="13"/>
      <c r="E42" s="13"/>
      <c r="F42" s="19"/>
      <c r="G42" s="13"/>
      <c r="H42" s="13"/>
      <c r="I42" s="13"/>
      <c r="J42" s="19"/>
      <c r="K42" s="19"/>
      <c r="L42" s="19"/>
      <c r="M42" s="13"/>
      <c r="N42" s="13"/>
      <c r="O42" s="13"/>
      <c r="P42" s="13"/>
      <c r="Q42" s="31"/>
      <c r="R42" s="31"/>
      <c r="S42" s="31"/>
      <c r="T42" s="31"/>
      <c r="U42" s="31"/>
    </row>
    <row r="43" spans="1:21" ht="20.100000000000001" customHeight="1">
      <c r="A43" s="13"/>
      <c r="B43" s="13"/>
      <c r="C43" s="13"/>
      <c r="D43" s="13"/>
      <c r="E43" s="13"/>
      <c r="F43" s="19"/>
      <c r="G43" s="13"/>
      <c r="H43" s="13"/>
      <c r="I43" s="13"/>
      <c r="J43" s="19"/>
      <c r="K43" s="19"/>
      <c r="L43" s="19"/>
      <c r="M43" s="13"/>
      <c r="N43" s="13"/>
      <c r="O43" s="13"/>
      <c r="P43" s="13"/>
      <c r="Q43" s="31"/>
      <c r="R43" s="31"/>
      <c r="S43" s="31"/>
      <c r="T43" s="31"/>
      <c r="U43" s="31"/>
    </row>
    <row r="44" spans="1:21" ht="20.100000000000001" customHeight="1">
      <c r="A44" s="13"/>
      <c r="B44" s="13"/>
      <c r="C44" s="13"/>
      <c r="D44" s="13"/>
      <c r="E44" s="13"/>
      <c r="F44" s="19"/>
      <c r="G44" s="13"/>
      <c r="H44" s="13"/>
      <c r="I44" s="13"/>
      <c r="J44" s="19"/>
      <c r="K44" s="19"/>
      <c r="L44" s="19"/>
      <c r="M44" s="13"/>
      <c r="N44" s="13"/>
      <c r="O44" s="13"/>
      <c r="P44" s="13"/>
      <c r="Q44" s="31"/>
      <c r="R44" s="31"/>
      <c r="S44" s="31"/>
      <c r="T44" s="31"/>
      <c r="U44" s="31"/>
    </row>
    <row r="45" spans="1:21" ht="20.100000000000001" customHeight="1">
      <c r="A45" s="13"/>
      <c r="B45" s="13"/>
      <c r="C45" s="13"/>
      <c r="D45" s="13"/>
      <c r="E45" s="13"/>
      <c r="F45" s="19"/>
      <c r="G45" s="13"/>
      <c r="H45" s="13"/>
      <c r="I45" s="13"/>
      <c r="J45" s="19"/>
      <c r="K45" s="19"/>
      <c r="L45" s="19"/>
      <c r="M45" s="13"/>
      <c r="N45" s="13"/>
      <c r="O45" s="13"/>
      <c r="P45" s="13"/>
      <c r="Q45" s="31"/>
      <c r="R45" s="31"/>
      <c r="S45" s="31"/>
      <c r="T45" s="31"/>
      <c r="U45" s="31"/>
    </row>
    <row r="46" spans="1:21" ht="20.100000000000001" customHeight="1">
      <c r="A46" s="13"/>
      <c r="B46" s="13"/>
      <c r="C46" s="13"/>
      <c r="D46" s="13"/>
      <c r="E46" s="13"/>
      <c r="F46" s="19"/>
      <c r="G46" s="13"/>
      <c r="H46" s="13"/>
      <c r="I46" s="13"/>
      <c r="J46" s="19"/>
      <c r="K46" s="19"/>
      <c r="L46" s="19"/>
      <c r="M46" s="13"/>
      <c r="N46" s="13"/>
      <c r="O46" s="13"/>
      <c r="P46" s="13"/>
      <c r="Q46" s="31"/>
      <c r="R46" s="31"/>
      <c r="S46" s="31"/>
      <c r="T46" s="31"/>
      <c r="U46" s="31"/>
    </row>
    <row r="47" spans="1:21" ht="20.100000000000001" customHeight="1">
      <c r="A47" s="13"/>
      <c r="B47" s="13"/>
      <c r="C47" s="13"/>
      <c r="D47" s="13"/>
      <c r="E47" s="13"/>
      <c r="F47" s="19"/>
      <c r="G47" s="13"/>
      <c r="H47" s="13"/>
      <c r="I47" s="13"/>
      <c r="J47" s="19"/>
      <c r="K47" s="19"/>
      <c r="L47" s="19"/>
      <c r="M47" s="13"/>
      <c r="N47" s="13"/>
      <c r="O47" s="13"/>
      <c r="P47" s="13"/>
      <c r="Q47" s="31"/>
      <c r="R47" s="31"/>
      <c r="S47" s="31"/>
      <c r="T47" s="31"/>
      <c r="U47" s="31"/>
    </row>
    <row r="48" spans="1:21" ht="20.100000000000001" customHeight="1">
      <c r="A48" s="13"/>
      <c r="B48" s="13"/>
      <c r="C48" s="13"/>
      <c r="D48" s="13"/>
      <c r="E48" s="13"/>
      <c r="F48" s="19"/>
      <c r="G48" s="13"/>
      <c r="H48" s="13"/>
      <c r="I48" s="13"/>
      <c r="J48" s="19"/>
      <c r="K48" s="19"/>
      <c r="L48" s="19"/>
      <c r="M48" s="13"/>
      <c r="N48" s="13"/>
      <c r="O48" s="13"/>
      <c r="P48" s="13"/>
      <c r="Q48" s="31"/>
      <c r="R48" s="31"/>
      <c r="S48" s="31"/>
      <c r="T48" s="31"/>
      <c r="U48" s="31"/>
    </row>
    <row r="49" spans="1:21" ht="20.100000000000001" customHeight="1">
      <c r="A49" s="13"/>
      <c r="B49" s="13"/>
      <c r="C49" s="13"/>
      <c r="D49" s="13"/>
      <c r="E49" s="13"/>
      <c r="F49" s="19"/>
      <c r="G49" s="13"/>
      <c r="H49" s="13"/>
      <c r="I49" s="13"/>
      <c r="J49" s="19"/>
      <c r="K49" s="19"/>
      <c r="L49" s="19"/>
      <c r="M49" s="13"/>
      <c r="N49" s="13"/>
      <c r="O49" s="13"/>
      <c r="P49" s="13"/>
      <c r="Q49" s="31"/>
      <c r="R49" s="31"/>
      <c r="S49" s="31"/>
      <c r="T49" s="31"/>
      <c r="U49" s="31"/>
    </row>
    <row r="50" spans="1:21" ht="20.100000000000001" customHeight="1">
      <c r="A50" s="13"/>
      <c r="B50" s="13"/>
      <c r="C50" s="13"/>
      <c r="D50" s="13"/>
      <c r="E50" s="13"/>
      <c r="F50" s="19"/>
      <c r="G50" s="13"/>
      <c r="H50" s="13"/>
      <c r="I50" s="13"/>
      <c r="J50" s="19"/>
      <c r="K50" s="19"/>
      <c r="L50" s="19"/>
      <c r="M50" s="13"/>
      <c r="N50" s="13"/>
      <c r="O50" s="13"/>
      <c r="P50" s="13"/>
      <c r="Q50" s="31"/>
      <c r="R50" s="31"/>
      <c r="S50" s="31"/>
      <c r="T50" s="31"/>
      <c r="U50" s="31"/>
    </row>
    <row r="51" spans="1:21" ht="20.100000000000001" customHeight="1">
      <c r="A51" s="13"/>
      <c r="B51" s="13"/>
      <c r="C51" s="13"/>
      <c r="D51" s="13"/>
      <c r="E51" s="13"/>
      <c r="F51" s="19"/>
      <c r="G51" s="13"/>
      <c r="H51" s="13"/>
      <c r="I51" s="13"/>
      <c r="J51" s="19"/>
      <c r="K51" s="19"/>
      <c r="L51" s="19"/>
      <c r="M51" s="13"/>
      <c r="N51" s="13"/>
      <c r="O51" s="13"/>
      <c r="P51" s="13"/>
      <c r="Q51" s="31"/>
      <c r="R51" s="31"/>
      <c r="S51" s="31"/>
      <c r="T51" s="31"/>
      <c r="U51" s="31"/>
    </row>
    <row r="52" spans="1:21" ht="20.100000000000001" customHeight="1">
      <c r="A52" s="13"/>
      <c r="B52" s="13"/>
      <c r="C52" s="13"/>
      <c r="D52" s="13"/>
      <c r="E52" s="13"/>
      <c r="F52" s="19"/>
      <c r="G52" s="13"/>
      <c r="H52" s="13"/>
      <c r="I52" s="13"/>
      <c r="J52" s="19"/>
      <c r="K52" s="19"/>
      <c r="L52" s="19"/>
      <c r="M52" s="13"/>
      <c r="N52" s="13"/>
      <c r="O52" s="13"/>
      <c r="P52" s="13"/>
      <c r="Q52" s="31"/>
      <c r="R52" s="31"/>
      <c r="S52" s="31"/>
      <c r="T52" s="31"/>
      <c r="U52" s="31"/>
    </row>
    <row r="53" spans="1:21" ht="20.100000000000001" customHeight="1">
      <c r="A53" s="13"/>
      <c r="B53" s="13"/>
      <c r="C53" s="13"/>
      <c r="D53" s="13"/>
      <c r="E53" s="13"/>
      <c r="F53" s="19"/>
      <c r="G53" s="13"/>
      <c r="H53" s="13"/>
      <c r="I53" s="13"/>
      <c r="J53" s="19"/>
      <c r="K53" s="19"/>
      <c r="L53" s="19"/>
      <c r="M53" s="13"/>
      <c r="N53" s="13"/>
      <c r="O53" s="13"/>
      <c r="P53" s="13"/>
      <c r="Q53" s="31"/>
      <c r="R53" s="31"/>
      <c r="S53" s="31"/>
      <c r="T53" s="31"/>
      <c r="U53" s="31"/>
    </row>
    <row r="54" spans="1:21" ht="20.100000000000001" customHeight="1">
      <c r="A54" s="13"/>
      <c r="B54" s="13"/>
      <c r="C54" s="13"/>
      <c r="D54" s="13"/>
      <c r="E54" s="13"/>
      <c r="F54" s="19"/>
      <c r="G54" s="13"/>
      <c r="H54" s="13"/>
      <c r="I54" s="13"/>
      <c r="J54" s="19"/>
      <c r="K54" s="19"/>
      <c r="L54" s="19"/>
      <c r="M54" s="13"/>
      <c r="N54" s="13"/>
      <c r="O54" s="13"/>
      <c r="P54" s="13"/>
      <c r="Q54" s="31"/>
      <c r="R54" s="31"/>
      <c r="S54" s="31"/>
      <c r="T54" s="31"/>
      <c r="U54" s="31"/>
    </row>
    <row r="55" spans="1:21" ht="20.100000000000001" customHeight="1">
      <c r="A55" s="13"/>
      <c r="B55" s="13"/>
      <c r="C55" s="13"/>
      <c r="D55" s="13"/>
      <c r="E55" s="13"/>
      <c r="F55" s="19"/>
      <c r="G55" s="13"/>
      <c r="H55" s="13"/>
      <c r="I55" s="13"/>
      <c r="J55" s="19"/>
      <c r="K55" s="19"/>
      <c r="L55" s="19"/>
      <c r="M55" s="13"/>
      <c r="N55" s="13"/>
      <c r="O55" s="13"/>
      <c r="P55" s="13"/>
      <c r="Q55" s="31"/>
      <c r="R55" s="31"/>
      <c r="S55" s="31"/>
      <c r="T55" s="31"/>
      <c r="U55" s="31"/>
    </row>
    <row r="56" spans="1:21" ht="20.100000000000001" customHeight="1">
      <c r="A56" s="13"/>
      <c r="B56" s="13"/>
      <c r="C56" s="13"/>
      <c r="D56" s="13"/>
      <c r="E56" s="13"/>
      <c r="F56" s="19"/>
      <c r="G56" s="13"/>
      <c r="H56" s="13"/>
      <c r="I56" s="13"/>
      <c r="J56" s="19"/>
      <c r="K56" s="19"/>
      <c r="L56" s="19"/>
      <c r="M56" s="13"/>
      <c r="N56" s="13"/>
      <c r="O56" s="13"/>
      <c r="P56" s="13"/>
      <c r="Q56" s="31"/>
      <c r="R56" s="31"/>
      <c r="S56" s="31"/>
      <c r="T56" s="31"/>
      <c r="U56" s="31"/>
    </row>
    <row r="57" spans="1:21" ht="20.100000000000001" customHeight="1">
      <c r="A57" s="13"/>
      <c r="B57" s="13"/>
      <c r="C57" s="13"/>
      <c r="D57" s="13"/>
      <c r="E57" s="13"/>
      <c r="F57" s="19"/>
      <c r="G57" s="13"/>
      <c r="H57" s="13"/>
      <c r="I57" s="13"/>
      <c r="J57" s="19"/>
      <c r="K57" s="19"/>
      <c r="L57" s="19"/>
      <c r="M57" s="13"/>
      <c r="N57" s="13"/>
      <c r="O57" s="13"/>
      <c r="P57" s="13"/>
      <c r="Q57" s="31"/>
      <c r="R57" s="31"/>
      <c r="S57" s="31"/>
      <c r="T57" s="31"/>
      <c r="U57" s="31"/>
    </row>
    <row r="58" spans="1:21" ht="20.100000000000001" customHeight="1">
      <c r="A58" s="13"/>
      <c r="B58" s="13"/>
      <c r="C58" s="13"/>
      <c r="D58" s="13"/>
      <c r="E58" s="13"/>
      <c r="F58" s="19"/>
      <c r="G58" s="13"/>
      <c r="H58" s="13"/>
      <c r="I58" s="13"/>
      <c r="J58" s="19"/>
      <c r="K58" s="19"/>
      <c r="L58" s="19"/>
      <c r="M58" s="13"/>
      <c r="N58" s="13"/>
      <c r="O58" s="13"/>
      <c r="P58" s="13"/>
      <c r="Q58" s="31"/>
      <c r="R58" s="31"/>
      <c r="S58" s="31"/>
      <c r="T58" s="31"/>
      <c r="U58" s="31"/>
    </row>
    <row r="59" spans="1:21" ht="20.100000000000001" customHeight="1">
      <c r="A59" s="13"/>
      <c r="B59" s="13"/>
      <c r="C59" s="13"/>
      <c r="D59" s="13"/>
      <c r="E59" s="13"/>
      <c r="F59" s="19"/>
      <c r="G59" s="13"/>
      <c r="H59" s="13"/>
      <c r="I59" s="13"/>
      <c r="J59" s="19"/>
      <c r="K59" s="19"/>
      <c r="L59" s="19"/>
      <c r="M59" s="13"/>
      <c r="N59" s="13"/>
      <c r="O59" s="13"/>
      <c r="P59" s="13"/>
      <c r="Q59" s="31"/>
      <c r="R59" s="31"/>
      <c r="S59" s="31"/>
      <c r="T59" s="31"/>
      <c r="U59" s="31"/>
    </row>
    <row r="60" spans="1:21" ht="20.100000000000001" customHeight="1">
      <c r="A60" s="13"/>
      <c r="B60" s="13"/>
      <c r="C60" s="13"/>
      <c r="D60" s="13"/>
      <c r="E60" s="13"/>
      <c r="F60" s="19"/>
      <c r="G60" s="13"/>
      <c r="H60" s="13"/>
      <c r="I60" s="13"/>
      <c r="J60" s="19"/>
      <c r="K60" s="19"/>
      <c r="L60" s="19"/>
      <c r="M60" s="13"/>
      <c r="N60" s="13"/>
      <c r="O60" s="13"/>
      <c r="P60" s="13"/>
      <c r="Q60" s="31"/>
      <c r="R60" s="31"/>
      <c r="S60" s="31"/>
      <c r="T60" s="31"/>
      <c r="U60" s="31"/>
    </row>
    <row r="61" spans="1:21" ht="20.100000000000001" customHeight="1">
      <c r="A61" s="13"/>
      <c r="B61" s="13"/>
      <c r="C61" s="13"/>
      <c r="D61" s="13"/>
      <c r="E61" s="13"/>
      <c r="F61" s="19"/>
      <c r="G61" s="13"/>
      <c r="H61" s="13"/>
      <c r="I61" s="13"/>
      <c r="J61" s="19"/>
      <c r="K61" s="19"/>
      <c r="L61" s="19"/>
      <c r="M61" s="13"/>
      <c r="N61" s="13"/>
      <c r="O61" s="13"/>
      <c r="P61" s="13"/>
      <c r="Q61" s="31"/>
      <c r="R61" s="31"/>
      <c r="S61" s="31"/>
      <c r="T61" s="31"/>
      <c r="U61" s="31"/>
    </row>
    <row r="62" spans="1:21" ht="20.100000000000001" customHeight="1">
      <c r="A62" s="13"/>
      <c r="B62" s="13"/>
      <c r="C62" s="13"/>
      <c r="D62" s="13"/>
      <c r="E62" s="13"/>
      <c r="F62" s="19"/>
      <c r="G62" s="13"/>
      <c r="H62" s="13"/>
      <c r="I62" s="13"/>
      <c r="J62" s="19"/>
      <c r="K62" s="19"/>
      <c r="L62" s="19"/>
      <c r="M62" s="13"/>
      <c r="N62" s="13"/>
      <c r="O62" s="13"/>
      <c r="P62" s="13"/>
      <c r="Q62" s="31"/>
      <c r="R62" s="31"/>
      <c r="S62" s="31"/>
      <c r="T62" s="31"/>
      <c r="U62" s="31"/>
    </row>
    <row r="63" spans="1:21" ht="20.100000000000001" customHeight="1">
      <c r="A63" s="13"/>
      <c r="B63" s="13"/>
      <c r="C63" s="13"/>
      <c r="D63" s="13"/>
      <c r="E63" s="13"/>
      <c r="F63" s="19"/>
      <c r="G63" s="13"/>
      <c r="H63" s="13"/>
      <c r="I63" s="13"/>
      <c r="J63" s="19"/>
      <c r="K63" s="19"/>
      <c r="L63" s="19"/>
      <c r="M63" s="13"/>
      <c r="N63" s="13"/>
      <c r="O63" s="13"/>
      <c r="P63" s="13"/>
      <c r="Q63" s="31"/>
      <c r="R63" s="31"/>
      <c r="S63" s="31"/>
      <c r="T63" s="31"/>
      <c r="U63" s="31"/>
    </row>
    <row r="64" spans="1:21" ht="20.100000000000001" customHeight="1">
      <c r="A64" s="13"/>
      <c r="B64" s="13"/>
      <c r="C64" s="13"/>
      <c r="D64" s="13"/>
      <c r="E64" s="13"/>
      <c r="F64" s="19"/>
      <c r="G64" s="13"/>
      <c r="H64" s="13"/>
      <c r="I64" s="13"/>
      <c r="J64" s="19"/>
      <c r="K64" s="19"/>
      <c r="L64" s="19"/>
      <c r="M64" s="13"/>
      <c r="N64" s="13"/>
      <c r="O64" s="13"/>
      <c r="P64" s="13"/>
      <c r="Q64" s="31"/>
      <c r="R64" s="31"/>
      <c r="S64" s="31"/>
      <c r="T64" s="31"/>
      <c r="U64" s="31"/>
    </row>
    <row r="65" spans="1:21" ht="20.100000000000001" customHeight="1">
      <c r="A65" s="13"/>
      <c r="B65" s="13"/>
      <c r="C65" s="13"/>
      <c r="D65" s="13"/>
      <c r="E65" s="13"/>
      <c r="F65" s="19"/>
      <c r="G65" s="13"/>
      <c r="H65" s="13"/>
      <c r="I65" s="13"/>
      <c r="J65" s="19"/>
      <c r="K65" s="19"/>
      <c r="L65" s="19"/>
      <c r="M65" s="13"/>
      <c r="N65" s="13"/>
      <c r="O65" s="13"/>
      <c r="P65" s="13"/>
      <c r="Q65" s="31"/>
      <c r="R65" s="31"/>
      <c r="S65" s="31"/>
      <c r="T65" s="31"/>
      <c r="U65" s="31"/>
    </row>
    <row r="66" spans="1:21" ht="20.100000000000001" customHeight="1">
      <c r="A66" s="13"/>
      <c r="B66" s="13"/>
      <c r="C66" s="13"/>
      <c r="D66" s="13"/>
      <c r="E66" s="13"/>
      <c r="F66" s="19"/>
      <c r="G66" s="13"/>
      <c r="H66" s="13"/>
      <c r="I66" s="13"/>
      <c r="J66" s="19"/>
      <c r="K66" s="19"/>
      <c r="L66" s="19"/>
      <c r="M66" s="13"/>
      <c r="N66" s="13"/>
      <c r="O66" s="13"/>
      <c r="P66" s="13"/>
      <c r="Q66" s="31"/>
      <c r="R66" s="31"/>
      <c r="S66" s="31"/>
      <c r="T66" s="31"/>
      <c r="U66" s="31"/>
    </row>
    <row r="67" spans="1:21" ht="20.100000000000001" customHeight="1">
      <c r="A67" s="13"/>
      <c r="B67" s="13"/>
      <c r="C67" s="13"/>
      <c r="D67" s="13"/>
      <c r="E67" s="13"/>
      <c r="F67" s="19"/>
      <c r="G67" s="13"/>
      <c r="H67" s="13"/>
      <c r="I67" s="13"/>
      <c r="J67" s="19"/>
      <c r="K67" s="19"/>
      <c r="L67" s="19"/>
      <c r="M67" s="13"/>
      <c r="N67" s="13"/>
      <c r="O67" s="13"/>
      <c r="P67" s="13"/>
      <c r="Q67" s="31"/>
      <c r="R67" s="31"/>
      <c r="S67" s="31"/>
      <c r="T67" s="31"/>
      <c r="U67" s="31"/>
    </row>
    <row r="68" spans="1:21" ht="20.100000000000001" customHeight="1">
      <c r="A68" s="13"/>
      <c r="B68" s="13"/>
      <c r="C68" s="13"/>
      <c r="D68" s="13"/>
      <c r="E68" s="13"/>
      <c r="F68" s="19"/>
      <c r="G68" s="13"/>
      <c r="H68" s="13"/>
      <c r="I68" s="13"/>
      <c r="J68" s="19"/>
      <c r="K68" s="19"/>
      <c r="L68" s="19"/>
      <c r="M68" s="13"/>
      <c r="N68" s="13"/>
      <c r="O68" s="13"/>
      <c r="P68" s="13"/>
      <c r="Q68" s="31"/>
      <c r="R68" s="31"/>
      <c r="S68" s="31"/>
      <c r="T68" s="31"/>
      <c r="U68" s="31"/>
    </row>
    <row r="69" spans="1:21" ht="20.100000000000001" customHeight="1">
      <c r="A69" s="13"/>
      <c r="B69" s="13"/>
      <c r="C69" s="13"/>
      <c r="D69" s="13"/>
      <c r="E69" s="13"/>
      <c r="F69" s="19"/>
      <c r="G69" s="13"/>
      <c r="H69" s="13"/>
      <c r="I69" s="13"/>
      <c r="J69" s="19"/>
      <c r="K69" s="19"/>
      <c r="L69" s="19"/>
      <c r="M69" s="13"/>
      <c r="N69" s="13"/>
      <c r="O69" s="13"/>
      <c r="P69" s="13"/>
      <c r="Q69" s="31"/>
      <c r="R69" s="31"/>
      <c r="S69" s="31"/>
      <c r="T69" s="31"/>
      <c r="U69" s="31"/>
    </row>
    <row r="70" spans="1:21" ht="20.100000000000001" customHeight="1">
      <c r="A70" s="13"/>
      <c r="B70" s="13"/>
      <c r="C70" s="13"/>
      <c r="D70" s="13"/>
      <c r="E70" s="13"/>
      <c r="F70" s="19"/>
      <c r="G70" s="13"/>
      <c r="H70" s="13"/>
      <c r="I70" s="13"/>
      <c r="J70" s="19"/>
      <c r="K70" s="19"/>
      <c r="L70" s="19"/>
      <c r="M70" s="13"/>
      <c r="N70" s="13"/>
      <c r="O70" s="13"/>
      <c r="P70" s="13"/>
      <c r="Q70" s="31"/>
      <c r="R70" s="31"/>
      <c r="S70" s="31"/>
      <c r="T70" s="31"/>
      <c r="U70" s="31"/>
    </row>
    <row r="71" spans="1:21" ht="20.100000000000001" customHeight="1">
      <c r="A71" s="13"/>
      <c r="B71" s="13"/>
      <c r="C71" s="13"/>
      <c r="D71" s="13"/>
      <c r="E71" s="13"/>
      <c r="F71" s="19"/>
      <c r="G71" s="13"/>
      <c r="H71" s="13"/>
      <c r="I71" s="13"/>
      <c r="J71" s="19"/>
      <c r="K71" s="19"/>
      <c r="L71" s="19"/>
      <c r="M71" s="13"/>
      <c r="N71" s="13"/>
      <c r="O71" s="13"/>
      <c r="P71" s="13"/>
      <c r="Q71" s="31"/>
      <c r="R71" s="31"/>
      <c r="S71" s="31"/>
      <c r="T71" s="31"/>
      <c r="U71" s="31"/>
    </row>
    <row r="72" spans="1:21" ht="20.100000000000001" customHeight="1">
      <c r="A72" s="13"/>
      <c r="B72" s="13"/>
      <c r="C72" s="13"/>
      <c r="D72" s="13"/>
      <c r="E72" s="13"/>
      <c r="F72" s="19"/>
      <c r="G72" s="13"/>
      <c r="H72" s="13"/>
      <c r="I72" s="13"/>
      <c r="J72" s="19"/>
      <c r="K72" s="19"/>
      <c r="L72" s="19"/>
      <c r="M72" s="13"/>
      <c r="N72" s="13"/>
      <c r="O72" s="13"/>
      <c r="P72" s="13"/>
      <c r="Q72" s="31"/>
      <c r="R72" s="31"/>
      <c r="S72" s="31"/>
      <c r="T72" s="31"/>
      <c r="U72" s="31"/>
    </row>
    <row r="73" spans="1:21" ht="20.100000000000001" customHeight="1">
      <c r="A73" s="13"/>
      <c r="B73" s="13"/>
      <c r="C73" s="13"/>
      <c r="D73" s="13"/>
      <c r="E73" s="13"/>
      <c r="F73" s="19"/>
      <c r="G73" s="13"/>
      <c r="H73" s="13"/>
      <c r="I73" s="13"/>
      <c r="J73" s="19"/>
      <c r="K73" s="19"/>
      <c r="L73" s="19"/>
      <c r="M73" s="13"/>
      <c r="N73" s="13"/>
      <c r="O73" s="13"/>
      <c r="P73" s="13"/>
      <c r="Q73" s="31"/>
      <c r="R73" s="31"/>
      <c r="S73" s="31"/>
      <c r="T73" s="31"/>
      <c r="U73" s="31"/>
    </row>
    <row r="74" spans="1:21" ht="20.100000000000001" customHeight="1">
      <c r="A74" s="13"/>
      <c r="B74" s="13"/>
      <c r="C74" s="13"/>
      <c r="D74" s="13"/>
      <c r="E74" s="13"/>
      <c r="F74" s="19"/>
      <c r="G74" s="13"/>
      <c r="H74" s="13"/>
      <c r="I74" s="13"/>
      <c r="J74" s="19"/>
      <c r="K74" s="19"/>
      <c r="L74" s="19"/>
      <c r="M74" s="13"/>
      <c r="N74" s="13"/>
      <c r="O74" s="13"/>
      <c r="P74" s="13"/>
      <c r="Q74" s="31"/>
      <c r="R74" s="31"/>
      <c r="S74" s="31"/>
      <c r="T74" s="31"/>
      <c r="U74" s="31"/>
    </row>
    <row r="75" spans="1:21" ht="20.100000000000001" customHeight="1">
      <c r="A75" s="13"/>
      <c r="B75" s="13"/>
      <c r="C75" s="13"/>
      <c r="D75" s="13"/>
      <c r="E75" s="13"/>
      <c r="F75" s="19"/>
      <c r="G75" s="13"/>
      <c r="H75" s="13"/>
      <c r="I75" s="13"/>
      <c r="J75" s="19"/>
      <c r="K75" s="19"/>
      <c r="L75" s="19"/>
      <c r="M75" s="13"/>
      <c r="N75" s="13"/>
      <c r="O75" s="13"/>
      <c r="P75" s="13"/>
      <c r="Q75" s="31"/>
      <c r="R75" s="31"/>
      <c r="S75" s="31"/>
      <c r="T75" s="31"/>
      <c r="U75" s="31"/>
    </row>
    <row r="76" spans="1:21" ht="20.100000000000001" customHeight="1">
      <c r="A76" s="13"/>
      <c r="B76" s="13"/>
      <c r="C76" s="13"/>
      <c r="D76" s="13"/>
      <c r="E76" s="13"/>
      <c r="F76" s="19"/>
      <c r="G76" s="13"/>
      <c r="H76" s="13"/>
      <c r="I76" s="13"/>
      <c r="J76" s="19"/>
      <c r="K76" s="19"/>
      <c r="L76" s="19"/>
      <c r="M76" s="13"/>
      <c r="N76" s="13"/>
      <c r="O76" s="13"/>
      <c r="P76" s="13"/>
      <c r="Q76" s="31"/>
      <c r="R76" s="31"/>
      <c r="S76" s="31"/>
      <c r="T76" s="31"/>
      <c r="U76" s="31"/>
    </row>
    <row r="77" spans="1:21" ht="20.100000000000001" customHeight="1">
      <c r="A77" s="13"/>
      <c r="B77" s="13"/>
      <c r="C77" s="13"/>
      <c r="D77" s="13"/>
      <c r="E77" s="13"/>
      <c r="F77" s="19"/>
      <c r="G77" s="13"/>
      <c r="H77" s="13"/>
      <c r="I77" s="13"/>
      <c r="J77" s="19"/>
      <c r="K77" s="19"/>
      <c r="L77" s="19"/>
      <c r="M77" s="13"/>
      <c r="N77" s="13"/>
      <c r="O77" s="13"/>
      <c r="P77" s="13"/>
      <c r="Q77" s="31"/>
      <c r="R77" s="31"/>
      <c r="S77" s="31"/>
      <c r="T77" s="31"/>
      <c r="U77" s="31"/>
    </row>
    <row r="78" spans="1:21" ht="20.100000000000001" customHeight="1">
      <c r="A78" s="13"/>
      <c r="B78" s="13"/>
      <c r="C78" s="13"/>
      <c r="D78" s="13"/>
      <c r="E78" s="13"/>
      <c r="F78" s="19"/>
      <c r="G78" s="13"/>
      <c r="H78" s="13"/>
      <c r="I78" s="13"/>
      <c r="J78" s="19"/>
      <c r="K78" s="19"/>
      <c r="L78" s="19"/>
      <c r="M78" s="13"/>
      <c r="N78" s="13"/>
      <c r="O78" s="13"/>
      <c r="P78" s="13"/>
      <c r="Q78" s="31"/>
      <c r="R78" s="31"/>
      <c r="S78" s="31"/>
      <c r="T78" s="31"/>
      <c r="U78" s="31"/>
    </row>
    <row r="79" spans="1:21" ht="20.100000000000001" customHeight="1">
      <c r="A79" s="13"/>
      <c r="B79" s="13"/>
      <c r="C79" s="13"/>
      <c r="D79" s="13"/>
      <c r="E79" s="13"/>
      <c r="F79" s="19"/>
      <c r="G79" s="13"/>
      <c r="H79" s="13"/>
      <c r="I79" s="13"/>
      <c r="J79" s="19"/>
      <c r="K79" s="19"/>
      <c r="L79" s="19"/>
      <c r="M79" s="13"/>
      <c r="N79" s="13"/>
      <c r="O79" s="13"/>
      <c r="P79" s="13"/>
      <c r="Q79" s="31"/>
      <c r="R79" s="31"/>
      <c r="S79" s="31"/>
      <c r="T79" s="31"/>
      <c r="U79" s="31"/>
    </row>
    <row r="80" spans="1:21" ht="20.100000000000001" customHeight="1">
      <c r="A80" s="13"/>
      <c r="B80" s="13"/>
      <c r="C80" s="13"/>
      <c r="D80" s="13"/>
      <c r="E80" s="13"/>
      <c r="F80" s="19"/>
      <c r="G80" s="13"/>
      <c r="H80" s="13"/>
      <c r="I80" s="13"/>
      <c r="J80" s="19"/>
      <c r="K80" s="19"/>
      <c r="L80" s="19"/>
      <c r="M80" s="13"/>
      <c r="N80" s="13"/>
      <c r="O80" s="13"/>
      <c r="P80" s="13"/>
      <c r="Q80" s="31"/>
      <c r="R80" s="31"/>
      <c r="S80" s="31"/>
      <c r="T80" s="31"/>
      <c r="U80" s="31"/>
    </row>
    <row r="81" spans="1:21" ht="20.100000000000001" customHeight="1">
      <c r="A81" s="13"/>
      <c r="B81" s="13"/>
      <c r="C81" s="13"/>
      <c r="D81" s="13"/>
      <c r="E81" s="13"/>
      <c r="F81" s="19"/>
      <c r="G81" s="13"/>
      <c r="H81" s="13"/>
      <c r="I81" s="13"/>
      <c r="J81" s="19"/>
      <c r="K81" s="19"/>
      <c r="L81" s="19"/>
      <c r="M81" s="13"/>
      <c r="N81" s="13"/>
      <c r="O81" s="13"/>
      <c r="P81" s="13"/>
      <c r="Q81" s="31"/>
      <c r="R81" s="31"/>
      <c r="S81" s="31"/>
      <c r="T81" s="31"/>
      <c r="U81" s="31"/>
    </row>
    <row r="82" spans="1:21" ht="20.100000000000001" customHeight="1">
      <c r="A82" s="13"/>
      <c r="B82" s="13"/>
      <c r="C82" s="13"/>
      <c r="D82" s="13"/>
      <c r="E82" s="13"/>
      <c r="F82" s="19"/>
      <c r="G82" s="13"/>
      <c r="H82" s="13"/>
      <c r="I82" s="13"/>
      <c r="J82" s="19"/>
      <c r="K82" s="19"/>
      <c r="L82" s="19"/>
      <c r="M82" s="13"/>
      <c r="N82" s="13"/>
      <c r="O82" s="13"/>
      <c r="P82" s="13"/>
      <c r="Q82" s="31"/>
      <c r="R82" s="31"/>
      <c r="S82" s="31"/>
      <c r="T82" s="31"/>
      <c r="U82" s="31"/>
    </row>
    <row r="83" spans="1:21" ht="20.100000000000001" customHeight="1">
      <c r="A83" s="13"/>
      <c r="B83" s="13"/>
      <c r="C83" s="13"/>
      <c r="D83" s="13"/>
      <c r="E83" s="13"/>
      <c r="F83" s="19"/>
      <c r="G83" s="13"/>
      <c r="H83" s="13"/>
      <c r="I83" s="13"/>
      <c r="J83" s="19"/>
      <c r="K83" s="19"/>
      <c r="L83" s="19"/>
      <c r="M83" s="13"/>
      <c r="N83" s="13"/>
      <c r="O83" s="13"/>
      <c r="P83" s="13"/>
      <c r="Q83" s="31"/>
      <c r="R83" s="31"/>
      <c r="S83" s="31"/>
      <c r="T83" s="31"/>
      <c r="U83" s="31"/>
    </row>
    <row r="84" spans="1:21" ht="20.100000000000001" customHeight="1">
      <c r="A84" s="13"/>
      <c r="B84" s="13"/>
      <c r="C84" s="13"/>
      <c r="D84" s="13"/>
      <c r="E84" s="13"/>
      <c r="F84" s="19"/>
      <c r="G84" s="13"/>
      <c r="H84" s="13"/>
      <c r="I84" s="13"/>
      <c r="J84" s="19"/>
      <c r="K84" s="19"/>
      <c r="L84" s="19"/>
      <c r="M84" s="13"/>
      <c r="N84" s="13"/>
      <c r="O84" s="13"/>
      <c r="P84" s="13"/>
      <c r="Q84" s="31"/>
      <c r="R84" s="31"/>
      <c r="S84" s="31"/>
      <c r="T84" s="31"/>
      <c r="U84" s="31"/>
    </row>
    <row r="85" spans="1:21" ht="20.100000000000001" customHeight="1">
      <c r="A85" s="13"/>
      <c r="B85" s="13"/>
      <c r="C85" s="13"/>
      <c r="D85" s="13"/>
      <c r="E85" s="13"/>
      <c r="F85" s="19"/>
      <c r="G85" s="13"/>
      <c r="H85" s="13"/>
      <c r="I85" s="13"/>
      <c r="J85" s="19"/>
      <c r="K85" s="19"/>
      <c r="L85" s="19"/>
      <c r="M85" s="13"/>
      <c r="N85" s="13"/>
      <c r="O85" s="13"/>
      <c r="P85" s="13"/>
      <c r="Q85" s="31"/>
      <c r="R85" s="31"/>
      <c r="S85" s="31"/>
      <c r="T85" s="31"/>
      <c r="U85" s="31"/>
    </row>
    <row r="86" spans="1:21" ht="20.100000000000001" customHeight="1">
      <c r="A86" s="13"/>
      <c r="B86" s="13"/>
      <c r="C86" s="13"/>
      <c r="D86" s="13"/>
      <c r="E86" s="13"/>
      <c r="F86" s="19"/>
      <c r="G86" s="13"/>
      <c r="H86" s="13"/>
      <c r="I86" s="13"/>
      <c r="J86" s="19"/>
      <c r="K86" s="19"/>
      <c r="L86" s="19"/>
      <c r="M86" s="13"/>
      <c r="N86" s="13"/>
      <c r="O86" s="13"/>
      <c r="P86" s="13"/>
      <c r="Q86" s="31"/>
      <c r="R86" s="31"/>
      <c r="S86" s="31"/>
      <c r="T86" s="31"/>
      <c r="U86" s="31"/>
    </row>
    <row r="87" spans="1:21" ht="20.100000000000001" customHeight="1">
      <c r="A87" s="13"/>
      <c r="B87" s="13"/>
      <c r="C87" s="13"/>
      <c r="D87" s="13"/>
      <c r="E87" s="13"/>
      <c r="F87" s="19"/>
      <c r="G87" s="13"/>
      <c r="H87" s="13"/>
      <c r="I87" s="13"/>
      <c r="J87" s="19"/>
      <c r="K87" s="19"/>
      <c r="L87" s="19"/>
      <c r="M87" s="13"/>
      <c r="N87" s="13"/>
      <c r="O87" s="13"/>
      <c r="P87" s="13"/>
      <c r="Q87" s="31"/>
      <c r="R87" s="31"/>
      <c r="S87" s="31"/>
      <c r="T87" s="31"/>
      <c r="U87" s="31"/>
    </row>
    <row r="88" spans="1:21" ht="20.100000000000001" customHeight="1">
      <c r="A88" s="13"/>
      <c r="B88" s="13"/>
      <c r="C88" s="13"/>
      <c r="D88" s="13"/>
      <c r="E88" s="13"/>
      <c r="F88" s="19"/>
      <c r="G88" s="13"/>
      <c r="H88" s="13"/>
      <c r="I88" s="13"/>
      <c r="J88" s="19"/>
      <c r="K88" s="19"/>
      <c r="L88" s="19"/>
      <c r="M88" s="13"/>
      <c r="N88" s="13"/>
      <c r="O88" s="13"/>
      <c r="P88" s="13"/>
      <c r="Q88" s="31"/>
      <c r="R88" s="31"/>
      <c r="S88" s="31"/>
      <c r="T88" s="31"/>
      <c r="U88" s="31"/>
    </row>
    <row r="89" spans="1:21" ht="20.100000000000001" customHeight="1">
      <c r="A89" s="13"/>
      <c r="B89" s="13"/>
      <c r="C89" s="13"/>
      <c r="D89" s="13"/>
      <c r="E89" s="13"/>
      <c r="F89" s="19"/>
      <c r="G89" s="13"/>
      <c r="H89" s="13"/>
      <c r="I89" s="13"/>
      <c r="J89" s="19"/>
      <c r="K89" s="19"/>
      <c r="L89" s="19"/>
      <c r="M89" s="13"/>
      <c r="N89" s="13"/>
      <c r="O89" s="13"/>
      <c r="P89" s="13"/>
      <c r="Q89" s="31"/>
      <c r="R89" s="31"/>
      <c r="S89" s="31"/>
      <c r="T89" s="31"/>
      <c r="U89" s="31"/>
    </row>
    <row r="90" spans="1:21" ht="20.100000000000001" customHeight="1">
      <c r="A90" s="13"/>
      <c r="B90" s="13"/>
      <c r="C90" s="13"/>
      <c r="D90" s="13"/>
      <c r="E90" s="13"/>
      <c r="F90" s="19"/>
      <c r="G90" s="13"/>
      <c r="H90" s="13"/>
      <c r="I90" s="13"/>
      <c r="J90" s="19"/>
      <c r="K90" s="19"/>
      <c r="L90" s="19"/>
      <c r="M90" s="13"/>
      <c r="N90" s="13"/>
      <c r="O90" s="13"/>
      <c r="P90" s="13"/>
      <c r="Q90" s="31"/>
      <c r="R90" s="31"/>
      <c r="S90" s="31"/>
      <c r="T90" s="31"/>
      <c r="U90" s="31"/>
    </row>
    <row r="91" spans="1:21" ht="20.100000000000001" customHeight="1">
      <c r="A91" s="13"/>
      <c r="B91" s="13"/>
      <c r="C91" s="13"/>
      <c r="D91" s="13"/>
      <c r="E91" s="13"/>
      <c r="F91" s="19"/>
      <c r="G91" s="13"/>
      <c r="H91" s="13"/>
      <c r="I91" s="13"/>
      <c r="J91" s="19"/>
      <c r="K91" s="19"/>
      <c r="L91" s="19"/>
      <c r="M91" s="13"/>
      <c r="N91" s="13"/>
      <c r="O91" s="13"/>
      <c r="P91" s="13"/>
      <c r="Q91" s="31"/>
      <c r="R91" s="31"/>
      <c r="S91" s="31"/>
      <c r="T91" s="31"/>
      <c r="U91" s="31"/>
    </row>
    <row r="92" spans="1:21" ht="20.100000000000001" customHeight="1">
      <c r="A92" s="13"/>
      <c r="B92" s="13"/>
      <c r="C92" s="13"/>
      <c r="D92" s="13"/>
      <c r="E92" s="13"/>
      <c r="F92" s="19"/>
      <c r="G92" s="13"/>
      <c r="H92" s="13"/>
      <c r="I92" s="13"/>
      <c r="J92" s="19"/>
      <c r="K92" s="19"/>
      <c r="L92" s="19"/>
      <c r="M92" s="13"/>
      <c r="N92" s="13"/>
      <c r="O92" s="13"/>
      <c r="P92" s="13"/>
      <c r="Q92" s="31"/>
      <c r="R92" s="31"/>
      <c r="S92" s="31"/>
      <c r="T92" s="31"/>
      <c r="U92" s="31"/>
    </row>
    <row r="93" spans="1:21" ht="20.100000000000001" customHeight="1">
      <c r="A93" s="13"/>
      <c r="B93" s="13"/>
      <c r="C93" s="13"/>
      <c r="D93" s="13"/>
      <c r="E93" s="13"/>
      <c r="F93" s="19"/>
      <c r="G93" s="13"/>
      <c r="H93" s="13"/>
      <c r="I93" s="13"/>
      <c r="J93" s="19"/>
      <c r="K93" s="19"/>
      <c r="L93" s="19"/>
      <c r="M93" s="13"/>
      <c r="N93" s="13"/>
      <c r="O93" s="13"/>
      <c r="P93" s="13"/>
      <c r="Q93" s="31"/>
      <c r="R93" s="31"/>
      <c r="S93" s="31"/>
      <c r="T93" s="31"/>
      <c r="U93" s="31"/>
    </row>
    <row r="94" spans="1:21" ht="20.100000000000001" customHeight="1">
      <c r="A94" s="13"/>
      <c r="B94" s="13"/>
      <c r="C94" s="13"/>
      <c r="D94" s="13"/>
      <c r="E94" s="13"/>
      <c r="F94" s="19"/>
      <c r="G94" s="13"/>
      <c r="H94" s="13"/>
      <c r="I94" s="13"/>
      <c r="J94" s="19"/>
      <c r="K94" s="19"/>
      <c r="L94" s="19"/>
      <c r="M94" s="13"/>
      <c r="N94" s="13"/>
      <c r="O94" s="13"/>
      <c r="P94" s="13"/>
      <c r="Q94" s="31"/>
      <c r="R94" s="31"/>
      <c r="S94" s="31"/>
      <c r="T94" s="31"/>
      <c r="U94" s="31"/>
    </row>
    <row r="95" spans="1:21" ht="20.100000000000001" customHeight="1">
      <c r="A95" s="13"/>
      <c r="B95" s="13"/>
      <c r="C95" s="13"/>
      <c r="D95" s="13"/>
      <c r="E95" s="13"/>
      <c r="F95" s="19"/>
      <c r="G95" s="13"/>
      <c r="H95" s="13"/>
      <c r="I95" s="13"/>
      <c r="J95" s="19"/>
      <c r="K95" s="19"/>
      <c r="L95" s="19"/>
      <c r="M95" s="13"/>
      <c r="N95" s="13"/>
      <c r="O95" s="13"/>
      <c r="P95" s="13"/>
      <c r="Q95" s="31"/>
      <c r="R95" s="31"/>
      <c r="S95" s="31"/>
      <c r="T95" s="31"/>
      <c r="U95" s="31"/>
    </row>
    <row r="96" spans="1:21" ht="20.100000000000001" customHeight="1">
      <c r="A96" s="13"/>
      <c r="B96" s="13"/>
      <c r="C96" s="13"/>
      <c r="D96" s="13"/>
      <c r="E96" s="13"/>
      <c r="F96" s="19"/>
      <c r="G96" s="13"/>
      <c r="H96" s="13"/>
      <c r="I96" s="13"/>
      <c r="J96" s="19"/>
      <c r="K96" s="19"/>
      <c r="L96" s="19"/>
      <c r="M96" s="13"/>
      <c r="N96" s="13"/>
      <c r="O96" s="13"/>
      <c r="P96" s="13"/>
      <c r="Q96" s="31"/>
      <c r="R96" s="31"/>
      <c r="S96" s="31"/>
      <c r="T96" s="31"/>
      <c r="U96" s="31"/>
    </row>
    <row r="97" spans="1:21" ht="20.100000000000001" customHeight="1">
      <c r="A97" s="13"/>
      <c r="B97" s="13"/>
      <c r="C97" s="13"/>
      <c r="D97" s="13"/>
      <c r="E97" s="13"/>
      <c r="F97" s="19"/>
      <c r="G97" s="13"/>
      <c r="H97" s="13"/>
      <c r="I97" s="13"/>
      <c r="J97" s="19"/>
      <c r="K97" s="19"/>
      <c r="L97" s="19"/>
      <c r="M97" s="13"/>
      <c r="N97" s="13"/>
      <c r="O97" s="13"/>
      <c r="P97" s="13"/>
      <c r="Q97" s="31"/>
      <c r="R97" s="31"/>
      <c r="S97" s="31"/>
      <c r="T97" s="31"/>
      <c r="U97" s="31"/>
    </row>
    <row r="98" spans="1:21" ht="20.100000000000001" customHeight="1">
      <c r="A98" s="13"/>
      <c r="B98" s="13"/>
      <c r="C98" s="13"/>
      <c r="D98" s="13"/>
      <c r="E98" s="13"/>
      <c r="F98" s="19"/>
      <c r="G98" s="13"/>
      <c r="H98" s="13"/>
      <c r="I98" s="13"/>
      <c r="J98" s="19"/>
      <c r="K98" s="19"/>
      <c r="L98" s="19"/>
      <c r="M98" s="13"/>
      <c r="N98" s="13"/>
      <c r="O98" s="13"/>
      <c r="P98" s="13"/>
      <c r="Q98" s="31"/>
      <c r="R98" s="31"/>
      <c r="S98" s="31"/>
      <c r="T98" s="31"/>
      <c r="U98" s="31"/>
    </row>
    <row r="99" spans="1:21" ht="20.100000000000001" customHeight="1">
      <c r="A99" s="13"/>
      <c r="B99" s="13"/>
      <c r="C99" s="13"/>
      <c r="D99" s="13"/>
      <c r="E99" s="13"/>
      <c r="F99" s="19"/>
      <c r="G99" s="13"/>
      <c r="H99" s="13"/>
      <c r="I99" s="13"/>
      <c r="J99" s="19"/>
      <c r="K99" s="19"/>
      <c r="L99" s="19"/>
      <c r="M99" s="13"/>
      <c r="N99" s="13"/>
      <c r="O99" s="13"/>
      <c r="P99" s="13"/>
      <c r="Q99" s="31"/>
      <c r="R99" s="31"/>
      <c r="S99" s="31"/>
      <c r="T99" s="31"/>
      <c r="U99" s="31"/>
    </row>
    <row r="100" spans="1:21" ht="20.100000000000001" customHeight="1">
      <c r="A100" s="13"/>
      <c r="B100" s="13"/>
      <c r="C100" s="13"/>
      <c r="D100" s="13"/>
      <c r="E100" s="13"/>
      <c r="F100" s="19"/>
      <c r="G100" s="13"/>
      <c r="H100" s="13"/>
      <c r="I100" s="13"/>
      <c r="J100" s="19"/>
      <c r="K100" s="19"/>
      <c r="L100" s="19"/>
      <c r="M100" s="13"/>
      <c r="N100" s="13"/>
      <c r="O100" s="13"/>
      <c r="P100" s="13"/>
      <c r="Q100" s="31"/>
      <c r="R100" s="31"/>
      <c r="S100" s="31"/>
      <c r="T100" s="31"/>
      <c r="U100" s="31"/>
    </row>
    <row r="101" spans="1:21" ht="20.100000000000001" customHeight="1">
      <c r="A101" s="13"/>
      <c r="B101" s="13"/>
      <c r="C101" s="13"/>
      <c r="D101" s="13"/>
      <c r="E101" s="13"/>
      <c r="F101" s="19"/>
      <c r="G101" s="13"/>
      <c r="H101" s="13"/>
      <c r="I101" s="13"/>
      <c r="J101" s="19"/>
      <c r="K101" s="19"/>
      <c r="L101" s="19"/>
      <c r="M101" s="13"/>
      <c r="N101" s="13"/>
      <c r="O101" s="13"/>
      <c r="P101" s="13"/>
      <c r="Q101" s="31"/>
      <c r="R101" s="31"/>
      <c r="S101" s="31"/>
      <c r="T101" s="31"/>
      <c r="U101" s="31"/>
    </row>
    <row r="102" spans="1:21" ht="20.100000000000001" customHeight="1">
      <c r="A102" s="13"/>
      <c r="B102" s="13"/>
      <c r="C102" s="13"/>
      <c r="D102" s="13"/>
      <c r="E102" s="13"/>
      <c r="F102" s="19"/>
      <c r="G102" s="13"/>
      <c r="H102" s="13"/>
      <c r="I102" s="13"/>
      <c r="J102" s="19"/>
      <c r="K102" s="19"/>
      <c r="L102" s="19"/>
      <c r="M102" s="13"/>
      <c r="N102" s="13"/>
      <c r="O102" s="13"/>
      <c r="P102" s="13"/>
      <c r="Q102" s="31"/>
      <c r="R102" s="31"/>
      <c r="S102" s="31"/>
      <c r="T102" s="31"/>
      <c r="U102" s="31"/>
    </row>
    <row r="103" spans="1:21" ht="20.100000000000001" customHeight="1">
      <c r="A103" s="13"/>
      <c r="B103" s="13"/>
      <c r="C103" s="13"/>
      <c r="D103" s="13"/>
      <c r="E103" s="13"/>
      <c r="F103" s="19"/>
      <c r="G103" s="13"/>
      <c r="H103" s="13"/>
      <c r="I103" s="13"/>
      <c r="J103" s="19"/>
      <c r="K103" s="19"/>
      <c r="L103" s="19"/>
      <c r="M103" s="13"/>
      <c r="N103" s="13"/>
      <c r="O103" s="13"/>
      <c r="P103" s="13"/>
      <c r="Q103" s="31"/>
      <c r="R103" s="31"/>
      <c r="S103" s="31"/>
      <c r="T103" s="31"/>
      <c r="U103" s="31"/>
    </row>
    <row r="104" spans="1:21" ht="20.100000000000001" customHeight="1">
      <c r="A104" s="13"/>
      <c r="B104" s="13"/>
      <c r="C104" s="13"/>
      <c r="D104" s="13"/>
      <c r="E104" s="13"/>
      <c r="F104" s="19"/>
      <c r="G104" s="13"/>
      <c r="H104" s="13"/>
      <c r="I104" s="13"/>
      <c r="J104" s="19"/>
      <c r="K104" s="19"/>
      <c r="L104" s="19"/>
      <c r="M104" s="13"/>
      <c r="N104" s="13"/>
      <c r="O104" s="13"/>
      <c r="P104" s="13"/>
      <c r="Q104" s="31"/>
      <c r="R104" s="31"/>
      <c r="S104" s="31"/>
      <c r="T104" s="31"/>
      <c r="U104" s="31"/>
    </row>
    <row r="105" spans="1:21" ht="20.100000000000001" customHeight="1">
      <c r="A105" s="13"/>
      <c r="B105" s="13"/>
      <c r="C105" s="13"/>
      <c r="D105" s="13"/>
      <c r="E105" s="13"/>
      <c r="F105" s="19"/>
      <c r="G105" s="13"/>
      <c r="H105" s="13"/>
      <c r="I105" s="13"/>
      <c r="J105" s="19"/>
      <c r="K105" s="19"/>
      <c r="L105" s="19"/>
      <c r="M105" s="13"/>
      <c r="N105" s="13"/>
      <c r="O105" s="13"/>
      <c r="P105" s="13"/>
      <c r="Q105" s="31"/>
      <c r="R105" s="31"/>
      <c r="S105" s="31"/>
      <c r="T105" s="31"/>
      <c r="U105" s="31"/>
    </row>
    <row r="106" spans="1:21" ht="20.100000000000001" customHeight="1">
      <c r="A106" s="13"/>
      <c r="B106" s="13"/>
      <c r="C106" s="13"/>
      <c r="D106" s="13"/>
      <c r="E106" s="13"/>
      <c r="F106" s="19"/>
      <c r="G106" s="13"/>
      <c r="H106" s="13"/>
      <c r="I106" s="13"/>
      <c r="J106" s="19"/>
      <c r="K106" s="19"/>
      <c r="L106" s="19"/>
      <c r="M106" s="13"/>
      <c r="N106" s="13"/>
      <c r="O106" s="13"/>
      <c r="P106" s="13"/>
      <c r="Q106" s="31"/>
      <c r="R106" s="31"/>
      <c r="S106" s="31"/>
      <c r="T106" s="31"/>
      <c r="U106" s="31"/>
    </row>
    <row r="107" spans="1:21" ht="20.100000000000001" customHeight="1">
      <c r="A107" s="13"/>
      <c r="B107" s="13"/>
      <c r="C107" s="13"/>
      <c r="D107" s="13"/>
      <c r="E107" s="13"/>
      <c r="F107" s="19"/>
      <c r="G107" s="13"/>
      <c r="H107" s="13"/>
      <c r="I107" s="13"/>
      <c r="J107" s="19"/>
      <c r="K107" s="19"/>
      <c r="L107" s="19"/>
      <c r="M107" s="13"/>
      <c r="N107" s="13"/>
      <c r="O107" s="13"/>
      <c r="P107" s="13"/>
      <c r="Q107" s="31"/>
      <c r="R107" s="31"/>
      <c r="S107" s="31"/>
      <c r="T107" s="31"/>
      <c r="U107" s="31"/>
    </row>
    <row r="108" spans="1:21" ht="20.100000000000001" customHeight="1">
      <c r="A108" s="13"/>
      <c r="B108" s="13"/>
      <c r="C108" s="13"/>
      <c r="D108" s="13"/>
      <c r="E108" s="13"/>
      <c r="F108" s="19"/>
      <c r="G108" s="13"/>
      <c r="H108" s="13"/>
      <c r="I108" s="13"/>
      <c r="J108" s="19"/>
      <c r="K108" s="19"/>
      <c r="L108" s="19"/>
      <c r="M108" s="13"/>
      <c r="N108" s="13"/>
      <c r="O108" s="13"/>
      <c r="P108" s="13"/>
      <c r="Q108" s="31"/>
      <c r="R108" s="31"/>
      <c r="S108" s="31"/>
      <c r="T108" s="31"/>
      <c r="U108" s="31"/>
    </row>
    <row r="109" spans="1:21" ht="20.100000000000001" customHeight="1">
      <c r="A109" s="13"/>
      <c r="B109" s="13"/>
      <c r="C109" s="13"/>
      <c r="D109" s="13"/>
      <c r="E109" s="13"/>
      <c r="F109" s="19"/>
      <c r="G109" s="13"/>
      <c r="H109" s="13"/>
      <c r="I109" s="13"/>
      <c r="J109" s="19"/>
      <c r="K109" s="19"/>
      <c r="L109" s="19"/>
      <c r="M109" s="13"/>
      <c r="N109" s="13"/>
      <c r="O109" s="13"/>
      <c r="P109" s="13"/>
      <c r="Q109" s="31"/>
      <c r="R109" s="31"/>
      <c r="S109" s="31"/>
      <c r="T109" s="31"/>
      <c r="U109" s="31"/>
    </row>
    <row r="110" spans="1:21" ht="20.100000000000001" customHeight="1">
      <c r="A110" s="13"/>
      <c r="B110" s="13"/>
      <c r="C110" s="13"/>
      <c r="D110" s="13"/>
      <c r="E110" s="13"/>
      <c r="F110" s="19"/>
      <c r="G110" s="13"/>
      <c r="H110" s="13"/>
      <c r="I110" s="13"/>
      <c r="J110" s="19"/>
      <c r="K110" s="19"/>
      <c r="L110" s="19"/>
      <c r="M110" s="13"/>
      <c r="N110" s="13"/>
      <c r="O110" s="13"/>
      <c r="P110" s="13"/>
      <c r="Q110" s="31"/>
      <c r="R110" s="31"/>
      <c r="S110" s="31"/>
      <c r="T110" s="31"/>
      <c r="U110" s="31"/>
    </row>
    <row r="111" spans="1:21" ht="20.100000000000001" customHeight="1">
      <c r="A111" s="13"/>
      <c r="B111" s="13"/>
      <c r="C111" s="13"/>
      <c r="D111" s="13"/>
      <c r="E111" s="13"/>
      <c r="F111" s="19"/>
      <c r="G111" s="13"/>
      <c r="H111" s="13"/>
      <c r="I111" s="13"/>
      <c r="J111" s="19"/>
      <c r="K111" s="19"/>
      <c r="L111" s="19"/>
      <c r="M111" s="13"/>
      <c r="N111" s="13"/>
      <c r="O111" s="13"/>
      <c r="P111" s="13"/>
      <c r="Q111" s="31"/>
      <c r="R111" s="31"/>
      <c r="S111" s="31"/>
      <c r="T111" s="31"/>
      <c r="U111" s="31"/>
    </row>
    <row r="112" spans="1:21" ht="20.100000000000001" customHeight="1">
      <c r="A112" s="13"/>
      <c r="B112" s="13"/>
      <c r="C112" s="13"/>
      <c r="D112" s="13"/>
      <c r="E112" s="13"/>
      <c r="F112" s="19"/>
      <c r="G112" s="13"/>
      <c r="H112" s="13"/>
      <c r="I112" s="13"/>
      <c r="J112" s="19"/>
      <c r="K112" s="19"/>
      <c r="L112" s="19"/>
      <c r="M112" s="13"/>
      <c r="N112" s="13"/>
      <c r="O112" s="13"/>
      <c r="P112" s="13"/>
      <c r="Q112" s="31"/>
      <c r="R112" s="31"/>
      <c r="S112" s="31"/>
      <c r="T112" s="31"/>
      <c r="U112" s="31"/>
    </row>
    <row r="113" spans="1:21" ht="20.100000000000001" customHeight="1">
      <c r="A113" s="13"/>
      <c r="B113" s="13"/>
      <c r="C113" s="13"/>
      <c r="D113" s="13"/>
      <c r="E113" s="13"/>
      <c r="F113" s="19"/>
      <c r="G113" s="13"/>
      <c r="H113" s="13"/>
      <c r="I113" s="13"/>
      <c r="J113" s="19"/>
      <c r="K113" s="19"/>
      <c r="L113" s="19"/>
      <c r="M113" s="13"/>
      <c r="N113" s="13"/>
      <c r="O113" s="13"/>
      <c r="P113" s="13"/>
      <c r="Q113" s="31"/>
      <c r="R113" s="31"/>
      <c r="S113" s="31"/>
      <c r="T113" s="31"/>
      <c r="U113" s="31"/>
    </row>
    <row r="114" spans="1:21" ht="20.100000000000001" customHeight="1">
      <c r="A114" s="13"/>
      <c r="B114" s="13"/>
      <c r="C114" s="13"/>
      <c r="D114" s="13"/>
      <c r="E114" s="13"/>
      <c r="F114" s="19"/>
      <c r="G114" s="13"/>
      <c r="H114" s="13"/>
      <c r="I114" s="13"/>
      <c r="J114" s="19"/>
      <c r="K114" s="19"/>
      <c r="L114" s="19"/>
      <c r="M114" s="13"/>
      <c r="N114" s="13"/>
      <c r="O114" s="13"/>
      <c r="P114" s="13"/>
      <c r="Q114" s="31"/>
      <c r="R114" s="31"/>
      <c r="S114" s="31"/>
      <c r="T114" s="31"/>
      <c r="U114" s="31"/>
    </row>
    <row r="115" spans="1:21" ht="20.100000000000001" customHeight="1">
      <c r="A115" s="13"/>
      <c r="B115" s="13"/>
      <c r="C115" s="13"/>
      <c r="D115" s="13"/>
      <c r="E115" s="13"/>
      <c r="F115" s="19"/>
      <c r="G115" s="13"/>
      <c r="H115" s="13"/>
      <c r="I115" s="13"/>
      <c r="J115" s="19"/>
      <c r="K115" s="19"/>
      <c r="L115" s="19"/>
      <c r="M115" s="13"/>
      <c r="N115" s="13"/>
      <c r="O115" s="13"/>
      <c r="P115" s="13"/>
      <c r="Q115" s="31"/>
      <c r="R115" s="31"/>
      <c r="S115" s="31"/>
      <c r="T115" s="31"/>
      <c r="U115" s="31"/>
    </row>
    <row r="116" spans="1:21" ht="20.100000000000001" customHeight="1">
      <c r="A116" s="13"/>
      <c r="B116" s="13"/>
      <c r="C116" s="13"/>
      <c r="D116" s="13"/>
      <c r="E116" s="13"/>
      <c r="F116" s="19"/>
      <c r="G116" s="13"/>
      <c r="H116" s="13"/>
      <c r="I116" s="13"/>
      <c r="J116" s="19"/>
      <c r="K116" s="19"/>
      <c r="L116" s="19"/>
      <c r="M116" s="13"/>
      <c r="N116" s="13"/>
      <c r="O116" s="13"/>
      <c r="P116" s="13"/>
      <c r="Q116" s="31"/>
      <c r="R116" s="31"/>
      <c r="S116" s="31"/>
      <c r="T116" s="31"/>
      <c r="U116" s="31"/>
    </row>
    <row r="117" spans="1:21" ht="20.100000000000001" customHeight="1">
      <c r="A117" s="13"/>
      <c r="B117" s="13"/>
      <c r="C117" s="13"/>
      <c r="D117" s="13"/>
      <c r="E117" s="13"/>
      <c r="F117" s="19"/>
      <c r="G117" s="13"/>
      <c r="H117" s="13"/>
      <c r="I117" s="13"/>
      <c r="J117" s="19"/>
      <c r="K117" s="19"/>
      <c r="L117" s="19"/>
      <c r="M117" s="13"/>
      <c r="N117" s="13"/>
      <c r="O117" s="13"/>
      <c r="P117" s="13"/>
      <c r="Q117" s="31"/>
      <c r="R117" s="31"/>
      <c r="S117" s="31"/>
      <c r="T117" s="31"/>
      <c r="U117" s="31"/>
    </row>
    <row r="118" spans="1:21" ht="20.100000000000001" customHeight="1">
      <c r="A118" s="13"/>
      <c r="B118" s="13"/>
      <c r="C118" s="13"/>
      <c r="D118" s="13"/>
      <c r="E118" s="13"/>
      <c r="F118" s="19"/>
      <c r="G118" s="13"/>
      <c r="H118" s="13"/>
      <c r="I118" s="13"/>
      <c r="J118" s="19"/>
      <c r="K118" s="19"/>
      <c r="L118" s="19"/>
      <c r="M118" s="13"/>
      <c r="N118" s="13"/>
      <c r="O118" s="13"/>
      <c r="P118" s="13"/>
      <c r="Q118" s="31"/>
      <c r="R118" s="31"/>
      <c r="S118" s="31"/>
      <c r="T118" s="31"/>
      <c r="U118" s="31"/>
    </row>
    <row r="119" spans="1:21" ht="20.100000000000001" customHeight="1">
      <c r="A119" s="13"/>
      <c r="B119" s="13"/>
      <c r="C119" s="13"/>
      <c r="D119" s="13"/>
      <c r="E119" s="13"/>
      <c r="F119" s="19"/>
      <c r="G119" s="13"/>
      <c r="H119" s="13"/>
      <c r="I119" s="13"/>
      <c r="J119" s="19"/>
      <c r="K119" s="19"/>
      <c r="L119" s="19"/>
      <c r="M119" s="13"/>
      <c r="N119" s="13"/>
      <c r="O119" s="13"/>
      <c r="P119" s="13"/>
      <c r="Q119" s="31"/>
      <c r="R119" s="31"/>
      <c r="S119" s="31"/>
      <c r="T119" s="31"/>
      <c r="U119" s="31"/>
    </row>
    <row r="120" spans="1:21" ht="20.100000000000001" customHeight="1">
      <c r="A120" s="13"/>
      <c r="B120" s="13"/>
      <c r="C120" s="13"/>
      <c r="D120" s="13"/>
      <c r="E120" s="13"/>
      <c r="F120" s="19"/>
      <c r="G120" s="13"/>
      <c r="H120" s="13"/>
      <c r="I120" s="13"/>
      <c r="J120" s="19"/>
      <c r="K120" s="19"/>
      <c r="L120" s="19"/>
      <c r="M120" s="13"/>
      <c r="N120" s="13"/>
      <c r="O120" s="13"/>
      <c r="P120" s="13"/>
      <c r="Q120" s="31"/>
      <c r="R120" s="31"/>
      <c r="S120" s="31"/>
      <c r="T120" s="31"/>
      <c r="U120" s="31"/>
    </row>
    <row r="121" spans="1:21" ht="20.100000000000001" customHeight="1">
      <c r="A121" s="13"/>
      <c r="B121" s="13"/>
      <c r="C121" s="13"/>
      <c r="D121" s="13"/>
      <c r="E121" s="13"/>
      <c r="F121" s="19"/>
      <c r="G121" s="13"/>
      <c r="H121" s="13"/>
      <c r="I121" s="13"/>
      <c r="J121" s="19"/>
      <c r="K121" s="19"/>
      <c r="L121" s="19"/>
      <c r="M121" s="13"/>
      <c r="N121" s="13"/>
      <c r="O121" s="13"/>
      <c r="P121" s="13"/>
      <c r="Q121" s="31"/>
      <c r="R121" s="31"/>
      <c r="S121" s="31"/>
      <c r="T121" s="31"/>
      <c r="U121" s="31"/>
    </row>
    <row r="122" spans="1:21" ht="20.100000000000001" customHeight="1">
      <c r="A122" s="13"/>
      <c r="B122" s="13"/>
      <c r="C122" s="13"/>
      <c r="D122" s="13"/>
      <c r="E122" s="13"/>
      <c r="F122" s="19"/>
      <c r="G122" s="13"/>
      <c r="H122" s="13"/>
      <c r="I122" s="13"/>
      <c r="J122" s="19"/>
      <c r="K122" s="19"/>
      <c r="L122" s="19"/>
      <c r="M122" s="13"/>
      <c r="N122" s="13"/>
      <c r="O122" s="13"/>
      <c r="P122" s="13"/>
      <c r="Q122" s="31"/>
      <c r="R122" s="31"/>
      <c r="S122" s="31"/>
      <c r="T122" s="31"/>
      <c r="U122" s="31"/>
    </row>
    <row r="123" spans="1:21" ht="20.100000000000001" customHeight="1">
      <c r="A123" s="13"/>
      <c r="B123" s="13"/>
      <c r="C123" s="13"/>
      <c r="D123" s="13"/>
      <c r="E123" s="13"/>
      <c r="F123" s="19"/>
      <c r="G123" s="13"/>
      <c r="H123" s="13"/>
      <c r="I123" s="13"/>
      <c r="J123" s="19"/>
      <c r="K123" s="19"/>
      <c r="L123" s="19"/>
      <c r="M123" s="13"/>
      <c r="N123" s="13"/>
      <c r="O123" s="13"/>
      <c r="P123" s="13"/>
      <c r="Q123" s="31"/>
      <c r="R123" s="31"/>
      <c r="S123" s="31"/>
      <c r="T123" s="31"/>
      <c r="U123" s="31"/>
    </row>
    <row r="124" spans="1:21" ht="20.100000000000001" customHeight="1">
      <c r="A124" s="13"/>
      <c r="B124" s="13"/>
      <c r="C124" s="13"/>
      <c r="D124" s="13"/>
      <c r="E124" s="13"/>
      <c r="F124" s="19"/>
      <c r="G124" s="13"/>
      <c r="H124" s="13"/>
      <c r="I124" s="13"/>
      <c r="J124" s="19"/>
      <c r="K124" s="19"/>
      <c r="L124" s="19"/>
      <c r="M124" s="13"/>
      <c r="N124" s="13"/>
      <c r="O124" s="13"/>
      <c r="P124" s="13"/>
      <c r="Q124" s="31"/>
      <c r="R124" s="31"/>
      <c r="S124" s="31"/>
      <c r="T124" s="31"/>
      <c r="U124" s="31"/>
    </row>
    <row r="125" spans="1:21" ht="20.100000000000001" customHeight="1">
      <c r="A125" s="13"/>
      <c r="B125" s="13"/>
      <c r="C125" s="13"/>
      <c r="D125" s="13"/>
      <c r="E125" s="13"/>
      <c r="F125" s="19"/>
      <c r="G125" s="13"/>
      <c r="H125" s="13"/>
      <c r="I125" s="13"/>
      <c r="J125" s="19"/>
      <c r="K125" s="19"/>
      <c r="L125" s="19"/>
      <c r="M125" s="13"/>
      <c r="N125" s="13"/>
      <c r="O125" s="13"/>
      <c r="P125" s="13"/>
      <c r="Q125" s="31"/>
      <c r="R125" s="31"/>
      <c r="S125" s="31"/>
      <c r="T125" s="31"/>
      <c r="U125" s="31"/>
    </row>
    <row r="126" spans="1:21" ht="20.100000000000001" customHeight="1">
      <c r="A126" s="13"/>
      <c r="B126" s="13"/>
      <c r="C126" s="13"/>
      <c r="D126" s="13"/>
      <c r="E126" s="13"/>
      <c r="F126" s="19"/>
      <c r="G126" s="13"/>
      <c r="H126" s="13"/>
      <c r="I126" s="13"/>
      <c r="J126" s="19"/>
      <c r="K126" s="19"/>
      <c r="L126" s="19"/>
      <c r="M126" s="13"/>
      <c r="N126" s="13"/>
      <c r="O126" s="13"/>
      <c r="P126" s="13"/>
      <c r="Q126" s="31"/>
      <c r="R126" s="31"/>
      <c r="S126" s="31"/>
      <c r="T126" s="31"/>
      <c r="U126" s="31"/>
    </row>
    <row r="127" spans="1:21" ht="20.100000000000001" customHeight="1">
      <c r="A127" s="13"/>
      <c r="B127" s="13"/>
      <c r="C127" s="13"/>
      <c r="D127" s="13"/>
      <c r="E127" s="13"/>
      <c r="F127" s="19"/>
      <c r="G127" s="13"/>
      <c r="H127" s="13"/>
      <c r="I127" s="13"/>
      <c r="J127" s="19"/>
      <c r="K127" s="19"/>
      <c r="L127" s="19"/>
      <c r="M127" s="13"/>
      <c r="N127" s="13"/>
      <c r="O127" s="13"/>
      <c r="P127" s="13"/>
      <c r="Q127" s="31"/>
      <c r="R127" s="31"/>
      <c r="S127" s="31"/>
      <c r="T127" s="31"/>
      <c r="U127" s="31"/>
    </row>
    <row r="128" spans="1:21" ht="20.100000000000001" customHeight="1">
      <c r="A128" s="13"/>
      <c r="B128" s="13"/>
      <c r="C128" s="13"/>
      <c r="D128" s="13"/>
      <c r="E128" s="13"/>
      <c r="F128" s="19"/>
      <c r="G128" s="13"/>
      <c r="H128" s="13"/>
      <c r="I128" s="13"/>
      <c r="J128" s="19"/>
      <c r="K128" s="19"/>
      <c r="L128" s="19"/>
      <c r="M128" s="13"/>
      <c r="N128" s="13"/>
      <c r="O128" s="13"/>
      <c r="P128" s="13"/>
      <c r="Q128" s="31"/>
      <c r="R128" s="31"/>
      <c r="S128" s="31"/>
      <c r="T128" s="31"/>
      <c r="U128" s="31"/>
    </row>
    <row r="129" spans="1:21" ht="20.100000000000001" customHeight="1">
      <c r="A129" s="13"/>
      <c r="B129" s="13"/>
      <c r="C129" s="13"/>
      <c r="D129" s="13"/>
      <c r="E129" s="13"/>
      <c r="F129" s="19"/>
      <c r="G129" s="13"/>
      <c r="H129" s="13"/>
      <c r="I129" s="13"/>
      <c r="J129" s="19"/>
      <c r="K129" s="19"/>
      <c r="L129" s="19"/>
      <c r="M129" s="13"/>
      <c r="N129" s="13"/>
      <c r="O129" s="13"/>
      <c r="P129" s="13"/>
      <c r="Q129" s="31"/>
      <c r="R129" s="31"/>
      <c r="S129" s="31"/>
      <c r="T129" s="31"/>
      <c r="U129" s="31"/>
    </row>
    <row r="130" spans="1:21" ht="20.100000000000001" customHeight="1">
      <c r="A130" s="13"/>
      <c r="B130" s="13"/>
      <c r="C130" s="13"/>
      <c r="D130" s="13"/>
      <c r="E130" s="13"/>
      <c r="F130" s="19"/>
      <c r="G130" s="13"/>
      <c r="H130" s="13"/>
      <c r="I130" s="13"/>
      <c r="J130" s="19"/>
      <c r="K130" s="19"/>
      <c r="L130" s="19"/>
      <c r="M130" s="13"/>
      <c r="N130" s="13"/>
      <c r="O130" s="13"/>
      <c r="P130" s="13"/>
      <c r="Q130" s="31"/>
      <c r="R130" s="31"/>
      <c r="S130" s="31"/>
      <c r="T130" s="31"/>
      <c r="U130" s="31"/>
    </row>
    <row r="131" spans="1:21" ht="20.100000000000001" customHeight="1">
      <c r="A131" s="13"/>
      <c r="B131" s="13"/>
      <c r="C131" s="13"/>
      <c r="D131" s="13"/>
      <c r="E131" s="13"/>
      <c r="F131" s="19"/>
      <c r="G131" s="13"/>
      <c r="H131" s="13"/>
      <c r="I131" s="13"/>
      <c r="J131" s="19"/>
      <c r="K131" s="19"/>
      <c r="L131" s="19"/>
      <c r="M131" s="13"/>
      <c r="N131" s="13"/>
      <c r="O131" s="13"/>
      <c r="P131" s="13"/>
      <c r="Q131" s="31"/>
      <c r="R131" s="31"/>
      <c r="S131" s="31"/>
      <c r="T131" s="31"/>
      <c r="U131" s="31"/>
    </row>
    <row r="132" spans="1:21" ht="20.100000000000001" customHeight="1">
      <c r="A132" s="13"/>
      <c r="B132" s="13"/>
      <c r="C132" s="13"/>
      <c r="D132" s="13"/>
      <c r="E132" s="13"/>
      <c r="F132" s="19"/>
      <c r="G132" s="13"/>
      <c r="H132" s="13"/>
      <c r="I132" s="13"/>
      <c r="J132" s="19"/>
      <c r="K132" s="19"/>
      <c r="L132" s="19"/>
      <c r="M132" s="13"/>
      <c r="N132" s="13"/>
      <c r="O132" s="13"/>
      <c r="P132" s="13"/>
      <c r="Q132" s="31"/>
      <c r="R132" s="31"/>
      <c r="S132" s="31"/>
      <c r="T132" s="31"/>
      <c r="U132" s="31"/>
    </row>
    <row r="133" spans="1:21" ht="20.100000000000001" customHeight="1">
      <c r="A133" s="13"/>
      <c r="B133" s="13"/>
      <c r="C133" s="13"/>
      <c r="D133" s="13"/>
      <c r="E133" s="13"/>
      <c r="F133" s="19"/>
      <c r="G133" s="13"/>
      <c r="H133" s="13"/>
      <c r="I133" s="13"/>
      <c r="J133" s="19"/>
      <c r="K133" s="19"/>
      <c r="L133" s="19"/>
      <c r="M133" s="13"/>
      <c r="N133" s="13"/>
      <c r="O133" s="13"/>
      <c r="P133" s="13"/>
      <c r="Q133" s="31"/>
      <c r="R133" s="31"/>
      <c r="S133" s="31"/>
      <c r="T133" s="31"/>
      <c r="U133" s="31"/>
    </row>
    <row r="134" spans="1:21" ht="20.100000000000001" customHeight="1">
      <c r="A134" s="13"/>
      <c r="B134" s="13"/>
      <c r="C134" s="13"/>
      <c r="D134" s="13"/>
      <c r="E134" s="13"/>
      <c r="F134" s="19"/>
      <c r="G134" s="13"/>
      <c r="H134" s="13"/>
      <c r="I134" s="13"/>
      <c r="J134" s="19"/>
      <c r="K134" s="19"/>
      <c r="L134" s="19"/>
      <c r="M134" s="13"/>
      <c r="N134" s="13"/>
      <c r="O134" s="13"/>
      <c r="P134" s="13"/>
      <c r="Q134" s="31"/>
      <c r="R134" s="31"/>
      <c r="S134" s="31"/>
      <c r="T134" s="31"/>
      <c r="U134" s="31"/>
    </row>
    <row r="135" spans="1:21" ht="20.100000000000001" customHeight="1">
      <c r="A135" s="13"/>
      <c r="B135" s="13"/>
      <c r="C135" s="13"/>
      <c r="D135" s="13"/>
      <c r="E135" s="13"/>
      <c r="F135" s="19"/>
      <c r="G135" s="13"/>
      <c r="H135" s="13"/>
      <c r="I135" s="13"/>
      <c r="J135" s="19"/>
      <c r="K135" s="19"/>
      <c r="L135" s="19"/>
      <c r="M135" s="13"/>
      <c r="N135" s="13"/>
      <c r="O135" s="13"/>
      <c r="P135" s="13"/>
      <c r="Q135" s="31"/>
      <c r="R135" s="31"/>
      <c r="S135" s="31"/>
      <c r="T135" s="31"/>
      <c r="U135" s="31"/>
    </row>
    <row r="136" spans="1:21" ht="20.100000000000001" customHeight="1">
      <c r="A136" s="13"/>
      <c r="B136" s="13"/>
      <c r="C136" s="13"/>
      <c r="D136" s="13"/>
      <c r="E136" s="13"/>
      <c r="F136" s="19"/>
      <c r="G136" s="13"/>
      <c r="H136" s="13"/>
      <c r="I136" s="13"/>
      <c r="J136" s="19"/>
      <c r="K136" s="19"/>
      <c r="L136" s="19"/>
      <c r="M136" s="13"/>
      <c r="N136" s="13"/>
      <c r="O136" s="13"/>
      <c r="P136" s="13"/>
      <c r="Q136" s="31"/>
      <c r="R136" s="31"/>
      <c r="S136" s="31"/>
      <c r="T136" s="31"/>
      <c r="U136" s="31"/>
    </row>
    <row r="137" spans="1:21" ht="20.100000000000001" customHeight="1">
      <c r="A137" s="13"/>
      <c r="B137" s="13"/>
      <c r="C137" s="13"/>
      <c r="D137" s="13"/>
      <c r="E137" s="13"/>
      <c r="F137" s="19"/>
      <c r="G137" s="13"/>
      <c r="H137" s="13"/>
      <c r="I137" s="13"/>
      <c r="J137" s="19"/>
      <c r="K137" s="19"/>
      <c r="L137" s="19"/>
      <c r="M137" s="13"/>
      <c r="N137" s="13"/>
      <c r="O137" s="13"/>
      <c r="P137" s="13"/>
      <c r="Q137" s="31"/>
      <c r="R137" s="31"/>
      <c r="S137" s="31"/>
      <c r="T137" s="31"/>
      <c r="U137" s="31"/>
    </row>
    <row r="138" spans="1:21" ht="20.100000000000001" customHeight="1">
      <c r="A138" s="13"/>
      <c r="B138" s="13"/>
      <c r="C138" s="13"/>
      <c r="D138" s="13"/>
      <c r="E138" s="13"/>
      <c r="F138" s="19"/>
      <c r="G138" s="13"/>
      <c r="H138" s="13"/>
      <c r="I138" s="13"/>
      <c r="J138" s="19"/>
      <c r="K138" s="19"/>
      <c r="L138" s="19"/>
      <c r="M138" s="13"/>
      <c r="N138" s="13"/>
      <c r="O138" s="13"/>
      <c r="P138" s="13"/>
      <c r="Q138" s="31"/>
      <c r="R138" s="31"/>
      <c r="S138" s="31"/>
      <c r="T138" s="31"/>
      <c r="U138" s="31"/>
    </row>
    <row r="139" spans="1:21" ht="20.100000000000001" customHeight="1">
      <c r="A139" s="13"/>
      <c r="B139" s="13"/>
      <c r="C139" s="13"/>
      <c r="D139" s="13"/>
      <c r="E139" s="13"/>
      <c r="F139" s="19"/>
      <c r="G139" s="13"/>
      <c r="H139" s="13"/>
      <c r="I139" s="13"/>
      <c r="J139" s="19"/>
      <c r="K139" s="19"/>
      <c r="L139" s="19"/>
      <c r="M139" s="13"/>
      <c r="N139" s="13"/>
      <c r="O139" s="13"/>
      <c r="P139" s="13"/>
      <c r="Q139" s="31"/>
      <c r="R139" s="31"/>
      <c r="S139" s="31"/>
      <c r="T139" s="31"/>
      <c r="U139" s="31"/>
    </row>
    <row r="140" spans="1:21" ht="20.100000000000001" customHeight="1">
      <c r="A140" s="13"/>
      <c r="B140" s="13"/>
      <c r="C140" s="13"/>
      <c r="D140" s="13"/>
      <c r="E140" s="13"/>
      <c r="F140" s="19"/>
      <c r="G140" s="13"/>
      <c r="H140" s="13"/>
      <c r="I140" s="13"/>
      <c r="J140" s="19"/>
      <c r="K140" s="19"/>
      <c r="L140" s="19"/>
      <c r="M140" s="13"/>
      <c r="N140" s="13"/>
      <c r="O140" s="13"/>
      <c r="P140" s="13"/>
      <c r="Q140" s="31"/>
      <c r="R140" s="31"/>
      <c r="S140" s="31"/>
      <c r="T140" s="31"/>
      <c r="U140" s="31"/>
    </row>
    <row r="141" spans="1:21" ht="20.100000000000001" customHeight="1">
      <c r="A141" s="13"/>
      <c r="B141" s="13"/>
      <c r="C141" s="13"/>
      <c r="D141" s="13"/>
      <c r="E141" s="13"/>
      <c r="F141" s="19"/>
      <c r="G141" s="13"/>
      <c r="H141" s="13"/>
      <c r="I141" s="13"/>
      <c r="J141" s="19"/>
      <c r="K141" s="19"/>
      <c r="L141" s="19"/>
      <c r="M141" s="13"/>
      <c r="N141" s="13"/>
      <c r="O141" s="13"/>
      <c r="P141" s="13"/>
      <c r="Q141" s="31"/>
      <c r="R141" s="31"/>
      <c r="S141" s="31"/>
      <c r="T141" s="31"/>
      <c r="U141" s="31"/>
    </row>
    <row r="142" spans="1:21" ht="20.100000000000001" customHeight="1">
      <c r="A142" s="13"/>
      <c r="B142" s="13"/>
      <c r="C142" s="13"/>
      <c r="D142" s="13"/>
      <c r="E142" s="13"/>
      <c r="F142" s="19"/>
      <c r="G142" s="13"/>
      <c r="H142" s="13"/>
      <c r="I142" s="13"/>
      <c r="J142" s="19"/>
      <c r="K142" s="19"/>
      <c r="L142" s="19"/>
      <c r="M142" s="13"/>
      <c r="N142" s="13"/>
      <c r="O142" s="13"/>
      <c r="P142" s="13"/>
      <c r="Q142" s="31"/>
      <c r="R142" s="31"/>
      <c r="S142" s="31"/>
      <c r="T142" s="31"/>
      <c r="U142" s="31"/>
    </row>
    <row r="143" spans="1:21" ht="20.100000000000001" customHeight="1">
      <c r="A143" s="13"/>
      <c r="B143" s="13"/>
      <c r="C143" s="13"/>
      <c r="D143" s="13"/>
      <c r="E143" s="13"/>
      <c r="F143" s="19"/>
      <c r="G143" s="13"/>
      <c r="H143" s="13"/>
      <c r="I143" s="13"/>
      <c r="J143" s="19"/>
      <c r="K143" s="19"/>
      <c r="L143" s="19"/>
      <c r="M143" s="13"/>
      <c r="N143" s="13"/>
      <c r="O143" s="13"/>
      <c r="P143" s="13"/>
      <c r="Q143" s="31"/>
      <c r="R143" s="31"/>
      <c r="S143" s="31"/>
      <c r="T143" s="31"/>
      <c r="U143" s="31"/>
    </row>
    <row r="144" spans="1:21" ht="20.100000000000001" customHeight="1">
      <c r="A144" s="13"/>
      <c r="B144" s="13"/>
      <c r="C144" s="13"/>
      <c r="D144" s="13"/>
      <c r="E144" s="13"/>
      <c r="F144" s="19"/>
      <c r="G144" s="13"/>
      <c r="H144" s="13"/>
      <c r="I144" s="13"/>
      <c r="J144" s="19"/>
      <c r="K144" s="19"/>
      <c r="L144" s="19"/>
      <c r="M144" s="13"/>
      <c r="N144" s="13"/>
      <c r="O144" s="13"/>
      <c r="P144" s="13"/>
      <c r="Q144" s="31"/>
      <c r="R144" s="31"/>
      <c r="S144" s="31"/>
      <c r="T144" s="31"/>
      <c r="U144" s="31"/>
    </row>
    <row r="145" spans="1:21" ht="20.100000000000001" customHeight="1">
      <c r="A145" s="13"/>
      <c r="B145" s="13"/>
      <c r="C145" s="13"/>
      <c r="D145" s="13"/>
      <c r="E145" s="13"/>
      <c r="F145" s="19"/>
      <c r="G145" s="13"/>
      <c r="H145" s="13"/>
      <c r="I145" s="13"/>
      <c r="J145" s="19"/>
      <c r="K145" s="19"/>
      <c r="L145" s="19"/>
      <c r="M145" s="13"/>
      <c r="N145" s="13"/>
      <c r="O145" s="13"/>
      <c r="P145" s="13"/>
      <c r="Q145" s="31"/>
      <c r="R145" s="31"/>
      <c r="S145" s="31"/>
      <c r="T145" s="31"/>
      <c r="U145" s="31"/>
    </row>
    <row r="146" spans="1:21" ht="20.100000000000001" customHeight="1">
      <c r="A146" s="13"/>
      <c r="B146" s="13"/>
      <c r="C146" s="13"/>
      <c r="D146" s="13"/>
      <c r="E146" s="13"/>
      <c r="F146" s="19"/>
      <c r="G146" s="13"/>
      <c r="H146" s="13"/>
      <c r="I146" s="13"/>
      <c r="J146" s="19"/>
      <c r="K146" s="19"/>
      <c r="L146" s="19"/>
      <c r="M146" s="13"/>
      <c r="N146" s="13"/>
      <c r="O146" s="13"/>
      <c r="P146" s="13"/>
      <c r="Q146" s="31"/>
      <c r="R146" s="31"/>
      <c r="S146" s="31"/>
      <c r="T146" s="31"/>
      <c r="U146" s="31"/>
    </row>
    <row r="147" spans="1:21" ht="20.100000000000001" customHeight="1">
      <c r="A147" s="13"/>
      <c r="B147" s="13"/>
      <c r="C147" s="13"/>
      <c r="D147" s="13"/>
      <c r="E147" s="13"/>
      <c r="F147" s="19"/>
      <c r="G147" s="13"/>
      <c r="H147" s="13"/>
      <c r="I147" s="13"/>
      <c r="J147" s="19"/>
      <c r="K147" s="19"/>
      <c r="L147" s="19"/>
      <c r="M147" s="13"/>
      <c r="N147" s="13"/>
      <c r="O147" s="13"/>
      <c r="P147" s="13"/>
      <c r="Q147" s="31"/>
      <c r="R147" s="31"/>
      <c r="S147" s="31"/>
      <c r="T147" s="31"/>
      <c r="U147" s="31"/>
    </row>
    <row r="148" spans="1:21" ht="20.100000000000001" customHeight="1">
      <c r="A148" s="13"/>
      <c r="B148" s="13"/>
      <c r="C148" s="13"/>
      <c r="D148" s="13"/>
      <c r="E148" s="13"/>
      <c r="F148" s="19"/>
      <c r="G148" s="13"/>
      <c r="H148" s="13"/>
      <c r="I148" s="13"/>
      <c r="J148" s="19"/>
      <c r="K148" s="19"/>
      <c r="L148" s="19"/>
      <c r="M148" s="13"/>
      <c r="N148" s="13"/>
      <c r="O148" s="13"/>
      <c r="P148" s="13"/>
      <c r="Q148" s="31"/>
      <c r="R148" s="31"/>
      <c r="S148" s="31"/>
      <c r="T148" s="31"/>
      <c r="U148" s="31"/>
    </row>
    <row r="149" spans="1:21" ht="20.100000000000001" customHeight="1">
      <c r="A149" s="13"/>
      <c r="B149" s="13"/>
      <c r="C149" s="13"/>
      <c r="D149" s="13"/>
      <c r="E149" s="13"/>
      <c r="F149" s="19"/>
      <c r="G149" s="13"/>
      <c r="H149" s="13"/>
      <c r="I149" s="13"/>
      <c r="J149" s="19"/>
      <c r="K149" s="19"/>
      <c r="L149" s="19"/>
      <c r="M149" s="13"/>
      <c r="N149" s="13"/>
      <c r="O149" s="13"/>
      <c r="P149" s="13"/>
      <c r="Q149" s="31"/>
      <c r="R149" s="31"/>
      <c r="S149" s="31"/>
      <c r="T149" s="31"/>
      <c r="U149" s="31"/>
    </row>
    <row r="150" spans="1:21" ht="20.100000000000001" customHeight="1">
      <c r="A150" s="13"/>
      <c r="B150" s="13"/>
      <c r="C150" s="13"/>
      <c r="D150" s="13"/>
      <c r="E150" s="13"/>
      <c r="F150" s="19"/>
      <c r="G150" s="13"/>
      <c r="H150" s="13"/>
      <c r="I150" s="13"/>
      <c r="J150" s="19"/>
      <c r="K150" s="19"/>
      <c r="L150" s="19"/>
      <c r="M150" s="13"/>
      <c r="N150" s="13"/>
      <c r="O150" s="13"/>
      <c r="P150" s="13"/>
      <c r="Q150" s="31"/>
      <c r="R150" s="31"/>
      <c r="S150" s="31"/>
      <c r="T150" s="31"/>
      <c r="U150" s="31"/>
    </row>
    <row r="151" spans="1:21" ht="20.100000000000001" customHeight="1">
      <c r="A151" s="13"/>
      <c r="B151" s="13"/>
      <c r="C151" s="13"/>
      <c r="D151" s="13"/>
      <c r="E151" s="13"/>
      <c r="F151" s="19"/>
      <c r="G151" s="13"/>
      <c r="H151" s="13"/>
      <c r="I151" s="13"/>
      <c r="J151" s="19"/>
      <c r="K151" s="19"/>
      <c r="L151" s="19"/>
      <c r="M151" s="13"/>
      <c r="N151" s="13"/>
      <c r="O151" s="13"/>
      <c r="P151" s="13"/>
      <c r="Q151" s="31"/>
      <c r="R151" s="31"/>
      <c r="S151" s="31"/>
      <c r="T151" s="31"/>
      <c r="U151" s="31"/>
    </row>
    <row r="152" spans="1:21" ht="20.100000000000001" customHeight="1">
      <c r="A152" s="13"/>
      <c r="B152" s="13"/>
      <c r="C152" s="13"/>
      <c r="D152" s="13"/>
      <c r="E152" s="13"/>
      <c r="F152" s="19"/>
      <c r="G152" s="13"/>
      <c r="H152" s="13"/>
      <c r="I152" s="13"/>
      <c r="J152" s="19"/>
      <c r="K152" s="19"/>
      <c r="L152" s="19"/>
      <c r="M152" s="13"/>
      <c r="N152" s="13"/>
      <c r="O152" s="13"/>
      <c r="P152" s="13"/>
      <c r="Q152" s="31"/>
      <c r="R152" s="31"/>
      <c r="S152" s="31"/>
      <c r="T152" s="31"/>
      <c r="U152" s="31"/>
    </row>
    <row r="153" spans="1:21" ht="20.100000000000001" customHeight="1">
      <c r="A153" s="13"/>
      <c r="B153" s="13"/>
      <c r="C153" s="13"/>
      <c r="D153" s="13"/>
      <c r="E153" s="13"/>
      <c r="F153" s="19"/>
      <c r="G153" s="13"/>
      <c r="H153" s="13"/>
      <c r="I153" s="13"/>
      <c r="J153" s="19"/>
      <c r="K153" s="19"/>
      <c r="L153" s="19"/>
      <c r="M153" s="13"/>
      <c r="N153" s="13"/>
      <c r="O153" s="13"/>
      <c r="P153" s="13"/>
      <c r="Q153" s="31"/>
      <c r="R153" s="31"/>
      <c r="S153" s="31"/>
      <c r="T153" s="31"/>
      <c r="U153" s="31"/>
    </row>
    <row r="154" spans="1:21" ht="20.100000000000001" customHeight="1">
      <c r="A154" s="13"/>
      <c r="B154" s="13"/>
      <c r="C154" s="13"/>
      <c r="D154" s="13"/>
      <c r="E154" s="13"/>
      <c r="F154" s="19"/>
      <c r="G154" s="13"/>
      <c r="H154" s="13"/>
      <c r="I154" s="13"/>
      <c r="J154" s="19"/>
      <c r="K154" s="19"/>
      <c r="L154" s="19"/>
      <c r="M154" s="13"/>
      <c r="N154" s="13"/>
      <c r="O154" s="13"/>
      <c r="P154" s="13"/>
      <c r="Q154" s="31"/>
      <c r="R154" s="31"/>
      <c r="S154" s="31"/>
      <c r="T154" s="31"/>
      <c r="U154" s="31"/>
    </row>
    <row r="155" spans="1:21" ht="20.100000000000001" customHeight="1">
      <c r="A155" s="13"/>
      <c r="B155" s="13"/>
      <c r="C155" s="13"/>
      <c r="D155" s="13"/>
      <c r="E155" s="13"/>
      <c r="F155" s="19"/>
      <c r="G155" s="13"/>
      <c r="H155" s="13"/>
      <c r="I155" s="13"/>
      <c r="J155" s="19"/>
      <c r="K155" s="19"/>
      <c r="L155" s="19"/>
      <c r="M155" s="13"/>
      <c r="N155" s="13"/>
      <c r="O155" s="13"/>
      <c r="P155" s="13"/>
      <c r="Q155" s="31"/>
      <c r="R155" s="31"/>
      <c r="S155" s="31"/>
      <c r="T155" s="31"/>
      <c r="U155" s="31"/>
    </row>
    <row r="156" spans="1:21" ht="20.100000000000001" customHeight="1">
      <c r="A156" s="13"/>
      <c r="B156" s="13"/>
      <c r="C156" s="13"/>
      <c r="D156" s="13"/>
      <c r="E156" s="13"/>
      <c r="F156" s="19"/>
      <c r="G156" s="13"/>
      <c r="H156" s="13"/>
      <c r="I156" s="13"/>
      <c r="J156" s="19"/>
      <c r="K156" s="19"/>
      <c r="L156" s="19"/>
      <c r="M156" s="13"/>
      <c r="N156" s="13"/>
      <c r="O156" s="13"/>
      <c r="P156" s="13"/>
      <c r="Q156" s="31"/>
      <c r="R156" s="31"/>
      <c r="S156" s="31"/>
      <c r="T156" s="31"/>
      <c r="U156" s="31"/>
    </row>
    <row r="157" spans="1:21" ht="20.100000000000001" customHeight="1">
      <c r="A157" s="13"/>
      <c r="B157" s="13"/>
      <c r="C157" s="13"/>
      <c r="D157" s="13"/>
      <c r="E157" s="13"/>
      <c r="F157" s="19"/>
      <c r="G157" s="13"/>
      <c r="H157" s="13"/>
      <c r="I157" s="13"/>
      <c r="J157" s="19"/>
      <c r="K157" s="19"/>
      <c r="L157" s="19"/>
      <c r="M157" s="13"/>
      <c r="N157" s="13"/>
      <c r="O157" s="13"/>
      <c r="P157" s="13"/>
      <c r="Q157" s="31"/>
      <c r="R157" s="31"/>
      <c r="S157" s="31"/>
      <c r="T157" s="31"/>
      <c r="U157" s="31"/>
    </row>
    <row r="158" spans="1:21" ht="20.100000000000001" customHeight="1">
      <c r="A158" s="13"/>
      <c r="B158" s="13"/>
      <c r="C158" s="13"/>
      <c r="D158" s="13"/>
      <c r="E158" s="13"/>
      <c r="F158" s="19"/>
      <c r="G158" s="13"/>
      <c r="H158" s="13"/>
      <c r="I158" s="13"/>
      <c r="J158" s="19"/>
      <c r="K158" s="19"/>
      <c r="L158" s="19"/>
      <c r="M158" s="13"/>
      <c r="N158" s="13"/>
      <c r="O158" s="13"/>
      <c r="P158" s="13"/>
      <c r="Q158" s="31"/>
      <c r="R158" s="31"/>
      <c r="S158" s="31"/>
      <c r="T158" s="31"/>
      <c r="U158" s="31"/>
    </row>
    <row r="159" spans="1:21" ht="20.100000000000001" customHeight="1">
      <c r="A159" s="13"/>
      <c r="B159" s="13"/>
      <c r="C159" s="13"/>
      <c r="D159" s="13"/>
      <c r="E159" s="13"/>
      <c r="F159" s="19"/>
      <c r="G159" s="13"/>
      <c r="H159" s="13"/>
      <c r="I159" s="13"/>
      <c r="J159" s="19"/>
      <c r="K159" s="19"/>
      <c r="L159" s="19"/>
      <c r="M159" s="13"/>
      <c r="N159" s="13"/>
      <c r="O159" s="13"/>
      <c r="P159" s="13"/>
      <c r="Q159" s="31"/>
      <c r="R159" s="31"/>
      <c r="S159" s="31"/>
      <c r="T159" s="31"/>
      <c r="U159" s="31"/>
    </row>
    <row r="160" spans="1:21" ht="20.100000000000001" customHeight="1">
      <c r="A160" s="13"/>
      <c r="B160" s="13"/>
      <c r="C160" s="13"/>
      <c r="D160" s="13"/>
      <c r="E160" s="13"/>
      <c r="F160" s="19"/>
      <c r="G160" s="13"/>
      <c r="H160" s="13"/>
      <c r="I160" s="13"/>
      <c r="J160" s="19"/>
      <c r="K160" s="19"/>
      <c r="L160" s="19"/>
      <c r="M160" s="13"/>
      <c r="N160" s="13"/>
      <c r="O160" s="13"/>
      <c r="P160" s="13"/>
      <c r="Q160" s="31"/>
      <c r="R160" s="31"/>
      <c r="S160" s="31"/>
      <c r="T160" s="31"/>
      <c r="U160" s="31"/>
    </row>
    <row r="161" spans="1:21" ht="20.100000000000001" customHeight="1">
      <c r="A161" s="13"/>
      <c r="B161" s="13"/>
      <c r="C161" s="13"/>
      <c r="D161" s="13"/>
      <c r="E161" s="13"/>
      <c r="F161" s="19"/>
      <c r="G161" s="13"/>
      <c r="H161" s="13"/>
      <c r="I161" s="13"/>
      <c r="J161" s="19"/>
      <c r="K161" s="19"/>
      <c r="L161" s="19"/>
      <c r="M161" s="13"/>
      <c r="N161" s="13"/>
      <c r="O161" s="13"/>
      <c r="P161" s="13"/>
      <c r="Q161" s="31"/>
      <c r="R161" s="31"/>
      <c r="S161" s="31"/>
      <c r="T161" s="31"/>
      <c r="U161" s="31"/>
    </row>
    <row r="162" spans="1:21" ht="20.100000000000001" customHeight="1">
      <c r="A162" s="13"/>
      <c r="B162" s="13"/>
      <c r="C162" s="13"/>
      <c r="D162" s="13"/>
      <c r="E162" s="13"/>
      <c r="F162" s="19"/>
      <c r="G162" s="13"/>
      <c r="H162" s="13"/>
      <c r="I162" s="13"/>
      <c r="J162" s="19"/>
      <c r="K162" s="19"/>
      <c r="L162" s="19"/>
      <c r="M162" s="13"/>
      <c r="N162" s="13"/>
      <c r="O162" s="13"/>
      <c r="P162" s="13"/>
      <c r="Q162" s="31"/>
      <c r="R162" s="31"/>
      <c r="S162" s="31"/>
      <c r="T162" s="31"/>
      <c r="U162" s="31"/>
    </row>
    <row r="163" spans="1:21" ht="20.100000000000001" customHeight="1">
      <c r="A163" s="13"/>
      <c r="B163" s="13"/>
      <c r="C163" s="13"/>
      <c r="D163" s="13"/>
      <c r="E163" s="13"/>
      <c r="F163" s="19"/>
      <c r="G163" s="13"/>
      <c r="H163" s="13"/>
      <c r="I163" s="13"/>
      <c r="J163" s="19"/>
      <c r="K163" s="19"/>
      <c r="L163" s="19"/>
      <c r="M163" s="13"/>
      <c r="N163" s="13"/>
      <c r="O163" s="13"/>
      <c r="P163" s="13"/>
      <c r="Q163" s="31"/>
      <c r="R163" s="31"/>
      <c r="S163" s="31"/>
      <c r="T163" s="31"/>
      <c r="U163" s="31"/>
    </row>
    <row r="164" spans="1:21" ht="20.100000000000001" customHeight="1">
      <c r="A164" s="13"/>
      <c r="B164" s="13"/>
      <c r="C164" s="13"/>
      <c r="D164" s="13"/>
      <c r="E164" s="13"/>
      <c r="F164" s="19"/>
      <c r="G164" s="13"/>
      <c r="H164" s="13"/>
      <c r="I164" s="13"/>
      <c r="J164" s="19"/>
      <c r="K164" s="19"/>
      <c r="L164" s="19"/>
      <c r="M164" s="13"/>
      <c r="N164" s="13"/>
      <c r="O164" s="13"/>
      <c r="P164" s="13"/>
      <c r="Q164" s="31"/>
      <c r="R164" s="31"/>
      <c r="S164" s="31"/>
      <c r="T164" s="31"/>
      <c r="U164" s="31"/>
    </row>
    <row r="165" spans="1:21" ht="20.100000000000001" customHeight="1">
      <c r="A165" s="13"/>
      <c r="B165" s="13"/>
      <c r="C165" s="13"/>
      <c r="D165" s="13"/>
      <c r="E165" s="13"/>
      <c r="F165" s="19"/>
      <c r="G165" s="13"/>
      <c r="H165" s="13"/>
      <c r="I165" s="13"/>
      <c r="J165" s="19"/>
      <c r="K165" s="19"/>
      <c r="L165" s="19"/>
      <c r="M165" s="13"/>
      <c r="N165" s="13"/>
      <c r="O165" s="13"/>
      <c r="P165" s="13"/>
      <c r="Q165" s="31"/>
      <c r="R165" s="31"/>
      <c r="S165" s="31"/>
      <c r="T165" s="31"/>
      <c r="U165" s="31"/>
    </row>
    <row r="166" spans="1:21" ht="20.100000000000001" customHeight="1">
      <c r="A166" s="13"/>
      <c r="B166" s="13"/>
      <c r="C166" s="13"/>
      <c r="D166" s="13"/>
      <c r="E166" s="13"/>
      <c r="F166" s="19"/>
      <c r="G166" s="13"/>
      <c r="H166" s="13"/>
      <c r="I166" s="13"/>
      <c r="J166" s="19"/>
      <c r="K166" s="19"/>
      <c r="L166" s="19"/>
      <c r="M166" s="13"/>
      <c r="N166" s="13"/>
      <c r="O166" s="13"/>
      <c r="P166" s="13"/>
      <c r="Q166" s="31"/>
      <c r="R166" s="31"/>
      <c r="S166" s="31"/>
      <c r="T166" s="31"/>
      <c r="U166" s="31"/>
    </row>
    <row r="167" spans="1:21" ht="20.100000000000001" customHeight="1">
      <c r="A167" s="13"/>
      <c r="B167" s="13"/>
      <c r="C167" s="13"/>
      <c r="D167" s="13"/>
      <c r="E167" s="13"/>
      <c r="F167" s="19"/>
      <c r="G167" s="13"/>
      <c r="H167" s="13"/>
      <c r="I167" s="13"/>
      <c r="J167" s="19"/>
      <c r="K167" s="19"/>
      <c r="L167" s="19"/>
      <c r="M167" s="13"/>
      <c r="N167" s="13"/>
      <c r="O167" s="13"/>
      <c r="P167" s="13"/>
      <c r="Q167" s="31"/>
      <c r="R167" s="31"/>
      <c r="S167" s="31"/>
      <c r="T167" s="31"/>
      <c r="U167" s="31"/>
    </row>
    <row r="168" spans="1:21" ht="20.100000000000001" customHeight="1">
      <c r="A168" s="13"/>
      <c r="B168" s="13"/>
      <c r="C168" s="13"/>
      <c r="D168" s="13"/>
      <c r="E168" s="13"/>
      <c r="F168" s="19"/>
      <c r="G168" s="13"/>
      <c r="H168" s="13"/>
      <c r="I168" s="13"/>
      <c r="J168" s="19"/>
      <c r="K168" s="19"/>
      <c r="L168" s="19"/>
      <c r="M168" s="13"/>
      <c r="N168" s="13"/>
      <c r="O168" s="13"/>
      <c r="P168" s="13"/>
      <c r="Q168" s="31"/>
      <c r="R168" s="31"/>
      <c r="S168" s="31"/>
      <c r="T168" s="31"/>
      <c r="U168" s="31"/>
    </row>
    <row r="169" spans="1:21" ht="20.100000000000001" customHeight="1">
      <c r="A169" s="13"/>
      <c r="B169" s="13"/>
      <c r="C169" s="13"/>
      <c r="D169" s="13"/>
      <c r="E169" s="13"/>
      <c r="F169" s="19"/>
      <c r="G169" s="13"/>
      <c r="H169" s="13"/>
      <c r="I169" s="13"/>
      <c r="J169" s="19"/>
      <c r="K169" s="19"/>
      <c r="L169" s="19"/>
      <c r="M169" s="13"/>
      <c r="N169" s="13"/>
      <c r="O169" s="13"/>
      <c r="P169" s="13"/>
      <c r="Q169" s="31"/>
      <c r="R169" s="31"/>
      <c r="S169" s="31"/>
      <c r="T169" s="31"/>
      <c r="U169" s="31"/>
    </row>
    <row r="170" spans="1:21" ht="20.100000000000001" customHeight="1">
      <c r="A170" s="13"/>
      <c r="B170" s="13"/>
      <c r="C170" s="13"/>
      <c r="D170" s="13"/>
      <c r="E170" s="13"/>
      <c r="F170" s="19"/>
      <c r="G170" s="13"/>
      <c r="H170" s="13"/>
      <c r="I170" s="13"/>
      <c r="J170" s="19"/>
      <c r="K170" s="19"/>
      <c r="L170" s="19"/>
      <c r="M170" s="13"/>
      <c r="N170" s="13"/>
      <c r="O170" s="13"/>
      <c r="P170" s="13"/>
      <c r="Q170" s="31"/>
      <c r="R170" s="31"/>
      <c r="S170" s="31"/>
      <c r="T170" s="31"/>
      <c r="U170" s="31"/>
    </row>
    <row r="171" spans="1:21" ht="20.100000000000001" customHeight="1">
      <c r="A171" s="13"/>
      <c r="B171" s="13"/>
      <c r="C171" s="13"/>
      <c r="D171" s="13"/>
      <c r="E171" s="13"/>
      <c r="F171" s="19"/>
      <c r="G171" s="13"/>
      <c r="H171" s="13"/>
      <c r="I171" s="13"/>
      <c r="J171" s="19"/>
      <c r="K171" s="19"/>
      <c r="L171" s="19"/>
      <c r="M171" s="13"/>
      <c r="N171" s="13"/>
      <c r="O171" s="13"/>
      <c r="P171" s="13"/>
      <c r="Q171" s="31"/>
      <c r="R171" s="31"/>
      <c r="S171" s="31"/>
      <c r="T171" s="31"/>
      <c r="U171" s="31"/>
    </row>
    <row r="172" spans="1:21" ht="20.100000000000001" customHeight="1">
      <c r="A172" s="13"/>
      <c r="B172" s="13"/>
      <c r="C172" s="13"/>
      <c r="D172" s="13"/>
      <c r="E172" s="13"/>
      <c r="F172" s="19"/>
      <c r="G172" s="13"/>
      <c r="H172" s="13"/>
      <c r="I172" s="13"/>
      <c r="J172" s="19"/>
      <c r="K172" s="19"/>
      <c r="L172" s="19"/>
      <c r="M172" s="13"/>
      <c r="N172" s="13"/>
      <c r="O172" s="13"/>
      <c r="P172" s="13"/>
      <c r="Q172" s="31"/>
      <c r="R172" s="31"/>
      <c r="S172" s="31"/>
      <c r="T172" s="31"/>
      <c r="U172" s="31"/>
    </row>
    <row r="173" spans="1:21" ht="20.100000000000001" customHeight="1">
      <c r="A173" s="13"/>
      <c r="B173" s="13"/>
      <c r="C173" s="13"/>
      <c r="D173" s="13"/>
      <c r="E173" s="13"/>
      <c r="F173" s="19"/>
      <c r="G173" s="13"/>
      <c r="H173" s="13"/>
      <c r="I173" s="13"/>
      <c r="J173" s="19"/>
      <c r="K173" s="19"/>
      <c r="L173" s="19"/>
      <c r="M173" s="13"/>
      <c r="N173" s="13"/>
      <c r="O173" s="13"/>
      <c r="P173" s="13"/>
      <c r="Q173" s="31"/>
      <c r="R173" s="31"/>
      <c r="S173" s="31"/>
      <c r="T173" s="31"/>
      <c r="U173" s="31"/>
    </row>
    <row r="174" spans="1:21" ht="20.100000000000001" customHeight="1">
      <c r="A174" s="13"/>
      <c r="B174" s="13"/>
      <c r="C174" s="13"/>
      <c r="D174" s="13"/>
      <c r="E174" s="13"/>
      <c r="F174" s="19"/>
      <c r="G174" s="13"/>
      <c r="H174" s="13"/>
      <c r="I174" s="13"/>
      <c r="J174" s="19"/>
      <c r="K174" s="19"/>
      <c r="L174" s="19"/>
      <c r="M174" s="13"/>
      <c r="N174" s="13"/>
      <c r="O174" s="13"/>
      <c r="P174" s="13"/>
      <c r="Q174" s="31"/>
      <c r="R174" s="31"/>
      <c r="S174" s="31"/>
      <c r="T174" s="31"/>
      <c r="U174" s="31"/>
    </row>
    <row r="175" spans="1:21" ht="20.100000000000001" customHeight="1">
      <c r="A175" s="13"/>
      <c r="B175" s="13"/>
      <c r="C175" s="13"/>
      <c r="D175" s="13"/>
      <c r="E175" s="13"/>
      <c r="F175" s="19"/>
      <c r="G175" s="13"/>
      <c r="H175" s="13"/>
      <c r="I175" s="13"/>
      <c r="J175" s="19"/>
      <c r="K175" s="19"/>
      <c r="L175" s="19"/>
      <c r="M175" s="13"/>
      <c r="N175" s="13"/>
      <c r="O175" s="13"/>
      <c r="P175" s="13"/>
      <c r="Q175" s="31"/>
      <c r="R175" s="31"/>
      <c r="S175" s="31"/>
      <c r="T175" s="31"/>
      <c r="U175" s="31"/>
    </row>
    <row r="176" spans="1:21" ht="20.100000000000001" customHeight="1">
      <c r="A176" s="13"/>
      <c r="B176" s="13"/>
      <c r="C176" s="13"/>
      <c r="D176" s="13"/>
      <c r="E176" s="13"/>
      <c r="F176" s="19"/>
      <c r="G176" s="13"/>
      <c r="H176" s="13"/>
      <c r="I176" s="13"/>
      <c r="J176" s="19"/>
      <c r="K176" s="19"/>
      <c r="L176" s="19"/>
      <c r="M176" s="13"/>
      <c r="N176" s="13"/>
      <c r="O176" s="13"/>
      <c r="P176" s="13"/>
      <c r="Q176" s="31"/>
      <c r="R176" s="31"/>
      <c r="S176" s="31"/>
      <c r="T176" s="31"/>
      <c r="U176" s="31"/>
    </row>
    <row r="177" spans="1:21" ht="20.100000000000001" customHeight="1">
      <c r="A177" s="13"/>
      <c r="B177" s="13"/>
      <c r="C177" s="13"/>
      <c r="D177" s="13"/>
      <c r="E177" s="13"/>
      <c r="F177" s="19"/>
      <c r="G177" s="13"/>
      <c r="H177" s="13"/>
      <c r="I177" s="13"/>
      <c r="J177" s="19"/>
      <c r="K177" s="19"/>
      <c r="L177" s="19"/>
      <c r="M177" s="13"/>
      <c r="N177" s="13"/>
      <c r="O177" s="13"/>
      <c r="P177" s="13"/>
      <c r="Q177" s="31"/>
      <c r="R177" s="31"/>
      <c r="S177" s="31"/>
      <c r="T177" s="31"/>
      <c r="U177" s="31"/>
    </row>
    <row r="178" spans="1:21" ht="20.100000000000001" customHeight="1">
      <c r="A178" s="13"/>
      <c r="B178" s="13"/>
      <c r="C178" s="13"/>
      <c r="D178" s="13"/>
      <c r="E178" s="13"/>
      <c r="F178" s="19"/>
      <c r="G178" s="13"/>
      <c r="H178" s="13"/>
      <c r="I178" s="13"/>
      <c r="J178" s="19"/>
      <c r="K178" s="19"/>
      <c r="L178" s="19"/>
      <c r="M178" s="13"/>
      <c r="N178" s="13"/>
      <c r="O178" s="13"/>
      <c r="P178" s="13"/>
      <c r="Q178" s="31"/>
      <c r="R178" s="31"/>
      <c r="S178" s="31"/>
      <c r="T178" s="31"/>
      <c r="U178" s="31"/>
    </row>
    <row r="179" spans="1:21" ht="20.100000000000001" customHeight="1">
      <c r="A179" s="13"/>
      <c r="B179" s="13"/>
      <c r="C179" s="13"/>
      <c r="D179" s="13"/>
      <c r="E179" s="13"/>
      <c r="F179" s="19"/>
      <c r="G179" s="13"/>
      <c r="H179" s="13"/>
      <c r="I179" s="13"/>
      <c r="J179" s="19"/>
      <c r="K179" s="19"/>
      <c r="L179" s="19"/>
      <c r="M179" s="13"/>
      <c r="N179" s="13"/>
      <c r="O179" s="13"/>
      <c r="P179" s="13"/>
      <c r="Q179" s="31"/>
      <c r="R179" s="31"/>
      <c r="S179" s="31"/>
      <c r="T179" s="31"/>
      <c r="U179" s="31"/>
    </row>
    <row r="180" spans="1:21" ht="20.100000000000001" customHeight="1">
      <c r="A180" s="13"/>
      <c r="B180" s="13"/>
      <c r="C180" s="13"/>
      <c r="D180" s="13"/>
      <c r="E180" s="13"/>
      <c r="F180" s="19"/>
      <c r="G180" s="13"/>
      <c r="H180" s="13"/>
      <c r="I180" s="13"/>
      <c r="J180" s="19"/>
      <c r="K180" s="19"/>
      <c r="L180" s="19"/>
      <c r="M180" s="13"/>
      <c r="N180" s="13"/>
      <c r="O180" s="13"/>
      <c r="P180" s="13"/>
      <c r="Q180" s="31"/>
      <c r="R180" s="31"/>
      <c r="S180" s="31"/>
      <c r="T180" s="31"/>
      <c r="U180" s="31"/>
    </row>
    <row r="181" spans="1:21" ht="20.100000000000001" customHeight="1">
      <c r="A181" s="13"/>
      <c r="B181" s="13"/>
      <c r="C181" s="13"/>
      <c r="D181" s="13"/>
      <c r="E181" s="13"/>
      <c r="F181" s="19"/>
      <c r="G181" s="13"/>
      <c r="H181" s="13"/>
      <c r="I181" s="13"/>
      <c r="J181" s="19"/>
      <c r="K181" s="19"/>
      <c r="L181" s="19"/>
      <c r="M181" s="13"/>
      <c r="N181" s="13"/>
      <c r="O181" s="13"/>
      <c r="P181" s="13"/>
      <c r="Q181" s="31"/>
      <c r="R181" s="31"/>
      <c r="S181" s="31"/>
      <c r="T181" s="31"/>
      <c r="U181" s="31"/>
    </row>
    <row r="182" spans="1:21" ht="20.100000000000001" customHeight="1">
      <c r="A182" s="13"/>
      <c r="B182" s="13"/>
      <c r="C182" s="13"/>
      <c r="D182" s="13"/>
      <c r="E182" s="13"/>
      <c r="F182" s="19"/>
      <c r="G182" s="13"/>
      <c r="H182" s="13"/>
      <c r="I182" s="13"/>
      <c r="J182" s="19"/>
      <c r="K182" s="19"/>
      <c r="L182" s="19"/>
      <c r="M182" s="13"/>
      <c r="N182" s="13"/>
      <c r="O182" s="13"/>
      <c r="P182" s="13"/>
      <c r="Q182" s="31"/>
      <c r="R182" s="31"/>
      <c r="S182" s="31"/>
      <c r="T182" s="31"/>
      <c r="U182" s="31"/>
    </row>
    <row r="183" spans="1:21" ht="20.100000000000001" customHeight="1">
      <c r="A183" s="13"/>
      <c r="B183" s="13"/>
      <c r="C183" s="13"/>
      <c r="D183" s="13"/>
      <c r="E183" s="13"/>
      <c r="F183" s="19"/>
      <c r="G183" s="13"/>
      <c r="H183" s="13"/>
      <c r="I183" s="13"/>
      <c r="J183" s="19"/>
      <c r="K183" s="19"/>
      <c r="L183" s="19"/>
      <c r="M183" s="13"/>
      <c r="N183" s="13"/>
      <c r="O183" s="13"/>
      <c r="P183" s="13"/>
      <c r="Q183" s="31"/>
      <c r="R183" s="31"/>
      <c r="S183" s="31"/>
      <c r="T183" s="31"/>
      <c r="U183" s="31"/>
    </row>
    <row r="184" spans="1:21" ht="20.100000000000001" customHeight="1">
      <c r="A184" s="13"/>
      <c r="B184" s="13"/>
      <c r="C184" s="13"/>
      <c r="D184" s="13"/>
      <c r="E184" s="13"/>
      <c r="F184" s="19"/>
      <c r="G184" s="13"/>
      <c r="H184" s="13"/>
      <c r="I184" s="13"/>
      <c r="J184" s="19"/>
      <c r="K184" s="19"/>
      <c r="L184" s="19"/>
      <c r="M184" s="13"/>
      <c r="N184" s="13"/>
      <c r="O184" s="13"/>
      <c r="P184" s="13"/>
      <c r="Q184" s="31"/>
      <c r="R184" s="31"/>
      <c r="S184" s="31"/>
      <c r="T184" s="31"/>
      <c r="U184" s="31"/>
    </row>
    <row r="185" spans="1:21" ht="20.100000000000001" customHeight="1">
      <c r="A185" s="13"/>
      <c r="B185" s="13"/>
      <c r="C185" s="13"/>
      <c r="D185" s="13"/>
      <c r="E185" s="13"/>
      <c r="F185" s="19"/>
      <c r="G185" s="13"/>
      <c r="H185" s="13"/>
      <c r="I185" s="13"/>
      <c r="J185" s="19"/>
      <c r="K185" s="19"/>
      <c r="L185" s="19"/>
      <c r="M185" s="13"/>
      <c r="N185" s="13"/>
      <c r="O185" s="13"/>
      <c r="P185" s="13"/>
      <c r="Q185" s="31"/>
      <c r="R185" s="31"/>
      <c r="S185" s="31"/>
      <c r="T185" s="31"/>
      <c r="U185" s="31"/>
    </row>
    <row r="186" spans="1:21" ht="20.100000000000001" customHeight="1">
      <c r="A186" s="13"/>
      <c r="B186" s="13"/>
      <c r="C186" s="13"/>
      <c r="D186" s="13"/>
      <c r="E186" s="13"/>
      <c r="F186" s="19"/>
      <c r="G186" s="13"/>
      <c r="H186" s="13"/>
      <c r="I186" s="13"/>
      <c r="J186" s="19"/>
      <c r="K186" s="19"/>
      <c r="L186" s="19"/>
      <c r="M186" s="13"/>
      <c r="N186" s="13"/>
      <c r="O186" s="13"/>
      <c r="P186" s="13"/>
      <c r="Q186" s="31"/>
      <c r="R186" s="31"/>
      <c r="S186" s="31"/>
      <c r="T186" s="31"/>
      <c r="U186" s="31"/>
    </row>
    <row r="187" spans="1:21" ht="20.100000000000001" customHeight="1">
      <c r="A187" s="13"/>
      <c r="B187" s="13"/>
      <c r="C187" s="13"/>
      <c r="D187" s="13"/>
      <c r="E187" s="13"/>
      <c r="F187" s="19"/>
      <c r="G187" s="13"/>
      <c r="H187" s="13"/>
      <c r="I187" s="13"/>
      <c r="J187" s="19"/>
      <c r="K187" s="19"/>
      <c r="L187" s="19"/>
      <c r="M187" s="13"/>
      <c r="N187" s="13"/>
      <c r="O187" s="13"/>
      <c r="P187" s="13"/>
      <c r="Q187" s="31"/>
      <c r="R187" s="31"/>
      <c r="S187" s="31"/>
      <c r="T187" s="31"/>
      <c r="U187" s="31"/>
    </row>
    <row r="188" spans="1:21" ht="20.100000000000001" customHeight="1">
      <c r="A188" s="13"/>
      <c r="B188" s="13"/>
      <c r="C188" s="13"/>
      <c r="D188" s="13"/>
      <c r="E188" s="13"/>
      <c r="F188" s="19"/>
      <c r="G188" s="13"/>
      <c r="H188" s="13"/>
      <c r="I188" s="13"/>
      <c r="J188" s="19"/>
      <c r="K188" s="19"/>
      <c r="L188" s="19"/>
      <c r="M188" s="13"/>
      <c r="N188" s="13"/>
      <c r="O188" s="13"/>
      <c r="P188" s="13"/>
      <c r="Q188" s="31"/>
      <c r="R188" s="31"/>
      <c r="S188" s="31"/>
      <c r="T188" s="31"/>
      <c r="U188" s="31"/>
    </row>
    <row r="189" spans="1:21" ht="20.100000000000001" customHeight="1">
      <c r="A189" s="13"/>
      <c r="B189" s="13"/>
      <c r="C189" s="13"/>
      <c r="D189" s="13"/>
      <c r="E189" s="13"/>
      <c r="F189" s="19"/>
      <c r="G189" s="13"/>
      <c r="H189" s="13"/>
      <c r="I189" s="13"/>
      <c r="J189" s="19"/>
      <c r="K189" s="19"/>
      <c r="L189" s="19"/>
      <c r="M189" s="13"/>
      <c r="N189" s="13"/>
      <c r="O189" s="13"/>
      <c r="P189" s="13"/>
      <c r="Q189" s="31"/>
      <c r="R189" s="31"/>
      <c r="S189" s="31"/>
      <c r="T189" s="31"/>
      <c r="U189" s="31"/>
    </row>
    <row r="190" spans="1:21" ht="20.100000000000001" customHeight="1">
      <c r="A190" s="13"/>
      <c r="B190" s="13"/>
      <c r="C190" s="13"/>
      <c r="D190" s="13"/>
      <c r="E190" s="13"/>
      <c r="F190" s="19"/>
      <c r="G190" s="13"/>
      <c r="H190" s="13"/>
      <c r="I190" s="13"/>
      <c r="J190" s="19"/>
      <c r="K190" s="19"/>
      <c r="L190" s="19"/>
      <c r="M190" s="13"/>
      <c r="N190" s="13"/>
      <c r="O190" s="13"/>
      <c r="P190" s="13"/>
      <c r="Q190" s="31"/>
      <c r="R190" s="31"/>
      <c r="S190" s="31"/>
      <c r="T190" s="31"/>
      <c r="U190" s="31"/>
    </row>
    <row r="191" spans="1:21" ht="20.100000000000001" customHeight="1">
      <c r="A191" s="13"/>
      <c r="B191" s="13"/>
      <c r="C191" s="13"/>
      <c r="D191" s="13"/>
      <c r="E191" s="13"/>
      <c r="F191" s="19"/>
      <c r="G191" s="13"/>
      <c r="H191" s="13"/>
      <c r="I191" s="13"/>
      <c r="J191" s="19"/>
      <c r="K191" s="19"/>
      <c r="L191" s="19"/>
      <c r="M191" s="13"/>
      <c r="N191" s="13"/>
      <c r="O191" s="13"/>
      <c r="P191" s="13"/>
      <c r="Q191" s="31"/>
      <c r="R191" s="31"/>
      <c r="S191" s="31"/>
      <c r="T191" s="31"/>
      <c r="U191" s="31"/>
    </row>
    <row r="192" spans="1:21" ht="20.100000000000001" customHeight="1">
      <c r="A192" s="13"/>
      <c r="B192" s="13"/>
      <c r="C192" s="13"/>
      <c r="D192" s="13"/>
      <c r="E192" s="13"/>
      <c r="F192" s="19"/>
      <c r="G192" s="13"/>
      <c r="H192" s="13"/>
      <c r="I192" s="13"/>
      <c r="J192" s="19"/>
      <c r="K192" s="19"/>
      <c r="L192" s="19"/>
      <c r="M192" s="13"/>
      <c r="N192" s="13"/>
      <c r="O192" s="13"/>
      <c r="P192" s="13"/>
      <c r="Q192" s="31"/>
      <c r="R192" s="31"/>
      <c r="S192" s="31"/>
      <c r="T192" s="31"/>
      <c r="U192" s="31"/>
    </row>
    <row r="193" spans="1:21" ht="20.100000000000001" customHeight="1">
      <c r="A193" s="13"/>
      <c r="B193" s="13"/>
      <c r="C193" s="13"/>
      <c r="D193" s="13"/>
      <c r="E193" s="13"/>
      <c r="F193" s="19"/>
      <c r="G193" s="13"/>
      <c r="H193" s="13"/>
      <c r="I193" s="13"/>
      <c r="J193" s="19"/>
      <c r="K193" s="19"/>
      <c r="L193" s="19"/>
      <c r="M193" s="13"/>
      <c r="N193" s="13"/>
      <c r="O193" s="13"/>
      <c r="P193" s="13"/>
      <c r="Q193" s="31"/>
      <c r="R193" s="31"/>
      <c r="S193" s="31"/>
      <c r="T193" s="31"/>
      <c r="U193" s="31"/>
    </row>
    <row r="194" spans="1:21" ht="20.100000000000001" customHeight="1">
      <c r="A194" s="13"/>
      <c r="B194" s="13"/>
      <c r="C194" s="13"/>
      <c r="D194" s="13"/>
      <c r="E194" s="13"/>
      <c r="F194" s="19"/>
      <c r="G194" s="13"/>
      <c r="H194" s="13"/>
      <c r="I194" s="13"/>
      <c r="J194" s="19"/>
      <c r="K194" s="19"/>
      <c r="L194" s="19"/>
      <c r="M194" s="13"/>
      <c r="N194" s="13"/>
      <c r="O194" s="13"/>
      <c r="P194" s="13"/>
      <c r="Q194" s="31"/>
      <c r="R194" s="31"/>
      <c r="S194" s="31"/>
      <c r="T194" s="31"/>
      <c r="U194" s="31"/>
    </row>
    <row r="195" spans="1:21" ht="20.100000000000001" customHeight="1">
      <c r="A195" s="13"/>
      <c r="B195" s="13"/>
      <c r="C195" s="13"/>
      <c r="D195" s="13"/>
      <c r="E195" s="13"/>
      <c r="F195" s="19"/>
      <c r="G195" s="13"/>
      <c r="H195" s="13"/>
      <c r="I195" s="13"/>
      <c r="J195" s="19"/>
      <c r="K195" s="19"/>
      <c r="L195" s="19"/>
      <c r="M195" s="13"/>
      <c r="N195" s="13"/>
      <c r="O195" s="13"/>
      <c r="P195" s="13"/>
      <c r="Q195" s="31"/>
      <c r="R195" s="31"/>
      <c r="S195" s="31"/>
      <c r="T195" s="31"/>
      <c r="U195" s="31"/>
    </row>
    <row r="196" spans="1:21" ht="20.100000000000001" customHeight="1">
      <c r="A196" s="13"/>
      <c r="B196" s="13"/>
      <c r="C196" s="13"/>
      <c r="D196" s="13"/>
      <c r="E196" s="13"/>
      <c r="F196" s="19"/>
      <c r="G196" s="13"/>
      <c r="H196" s="13"/>
      <c r="I196" s="13"/>
      <c r="J196" s="19"/>
      <c r="K196" s="19"/>
      <c r="L196" s="19"/>
      <c r="M196" s="13"/>
      <c r="N196" s="13"/>
      <c r="O196" s="13"/>
      <c r="P196" s="13"/>
      <c r="Q196" s="31"/>
      <c r="R196" s="31"/>
      <c r="S196" s="31"/>
      <c r="T196" s="31"/>
      <c r="U196" s="31"/>
    </row>
    <row r="197" spans="1:21" ht="20.100000000000001" customHeight="1">
      <c r="A197" s="13"/>
      <c r="B197" s="13"/>
      <c r="C197" s="13"/>
      <c r="D197" s="13"/>
      <c r="E197" s="13"/>
      <c r="F197" s="19"/>
      <c r="G197" s="13"/>
      <c r="H197" s="13"/>
      <c r="I197" s="13"/>
      <c r="J197" s="19"/>
      <c r="K197" s="19"/>
      <c r="L197" s="19"/>
      <c r="M197" s="13"/>
      <c r="N197" s="13"/>
      <c r="O197" s="13"/>
      <c r="P197" s="13"/>
      <c r="Q197" s="31"/>
      <c r="R197" s="31"/>
      <c r="S197" s="31"/>
      <c r="T197" s="31"/>
      <c r="U197" s="31"/>
    </row>
    <row r="198" spans="1:21" ht="20.100000000000001" customHeight="1">
      <c r="A198" s="13"/>
      <c r="B198" s="13"/>
      <c r="C198" s="13"/>
      <c r="D198" s="13"/>
      <c r="E198" s="13"/>
      <c r="F198" s="19"/>
      <c r="G198" s="13"/>
      <c r="H198" s="13"/>
      <c r="I198" s="13"/>
      <c r="J198" s="19"/>
      <c r="K198" s="19"/>
      <c r="L198" s="19"/>
      <c r="M198" s="13"/>
      <c r="N198" s="13"/>
      <c r="O198" s="13"/>
      <c r="P198" s="13"/>
      <c r="Q198" s="31"/>
      <c r="R198" s="31"/>
      <c r="S198" s="31"/>
      <c r="T198" s="31"/>
      <c r="U198" s="31"/>
    </row>
    <row r="199" spans="1:21" ht="20.100000000000001" customHeight="1">
      <c r="A199" s="13"/>
      <c r="B199" s="13"/>
      <c r="C199" s="13"/>
      <c r="D199" s="13"/>
      <c r="E199" s="13"/>
      <c r="F199" s="19"/>
      <c r="G199" s="13"/>
      <c r="H199" s="13"/>
      <c r="I199" s="13"/>
      <c r="J199" s="19"/>
      <c r="K199" s="19"/>
      <c r="L199" s="19"/>
      <c r="M199" s="13"/>
      <c r="N199" s="13"/>
      <c r="O199" s="13"/>
      <c r="P199" s="13"/>
      <c r="Q199" s="31"/>
      <c r="R199" s="31"/>
      <c r="S199" s="31"/>
      <c r="T199" s="31"/>
      <c r="U199" s="31"/>
    </row>
    <row r="200" spans="1:21" ht="20.100000000000001" customHeight="1">
      <c r="A200" s="13"/>
      <c r="B200" s="13"/>
      <c r="C200" s="13"/>
      <c r="D200" s="13"/>
      <c r="E200" s="13"/>
      <c r="F200" s="19"/>
      <c r="G200" s="13"/>
      <c r="H200" s="13"/>
      <c r="I200" s="13"/>
      <c r="J200" s="19"/>
      <c r="K200" s="19"/>
      <c r="L200" s="19"/>
      <c r="M200" s="13"/>
      <c r="N200" s="13"/>
      <c r="O200" s="13"/>
      <c r="P200" s="13"/>
      <c r="Q200" s="31"/>
      <c r="R200" s="31"/>
      <c r="S200" s="31"/>
      <c r="T200" s="31"/>
      <c r="U200" s="31"/>
    </row>
    <row r="201" spans="1:21" ht="20.100000000000001" customHeight="1">
      <c r="A201" s="13"/>
      <c r="B201" s="13"/>
      <c r="C201" s="13"/>
      <c r="D201" s="13"/>
      <c r="E201" s="13"/>
      <c r="F201" s="19"/>
      <c r="G201" s="13"/>
      <c r="H201" s="13"/>
      <c r="I201" s="13"/>
      <c r="J201" s="19"/>
      <c r="K201" s="19"/>
      <c r="L201" s="19"/>
      <c r="M201" s="13"/>
      <c r="N201" s="13"/>
      <c r="O201" s="13"/>
      <c r="P201" s="13"/>
      <c r="Q201" s="31"/>
      <c r="R201" s="31"/>
      <c r="S201" s="31"/>
      <c r="T201" s="31"/>
      <c r="U201" s="31"/>
    </row>
    <row r="202" spans="1:21" ht="20.100000000000001" customHeight="1">
      <c r="A202" s="13"/>
      <c r="B202" s="13"/>
      <c r="C202" s="13"/>
      <c r="D202" s="13"/>
      <c r="E202" s="13"/>
      <c r="F202" s="19"/>
      <c r="G202" s="13"/>
      <c r="H202" s="13"/>
      <c r="I202" s="13"/>
      <c r="J202" s="19"/>
      <c r="K202" s="19"/>
      <c r="L202" s="19"/>
      <c r="M202" s="13"/>
      <c r="N202" s="13"/>
      <c r="O202" s="13"/>
      <c r="P202" s="13"/>
      <c r="Q202" s="31"/>
      <c r="R202" s="31"/>
      <c r="S202" s="31"/>
      <c r="T202" s="31"/>
      <c r="U202" s="31"/>
    </row>
    <row r="203" spans="1:21" ht="20.100000000000001" customHeight="1">
      <c r="A203" s="13"/>
      <c r="B203" s="13"/>
      <c r="C203" s="13"/>
      <c r="D203" s="13"/>
      <c r="E203" s="13"/>
      <c r="F203" s="19"/>
      <c r="G203" s="13"/>
      <c r="H203" s="13"/>
      <c r="I203" s="13"/>
      <c r="J203" s="19"/>
      <c r="K203" s="19"/>
      <c r="L203" s="19"/>
      <c r="M203" s="13"/>
      <c r="N203" s="13"/>
      <c r="O203" s="13"/>
      <c r="P203" s="13"/>
      <c r="Q203" s="31"/>
      <c r="R203" s="31"/>
      <c r="S203" s="31"/>
      <c r="T203" s="31"/>
      <c r="U203" s="31"/>
    </row>
    <row r="204" spans="1:21" ht="20.100000000000001" customHeight="1">
      <c r="A204" s="13"/>
      <c r="B204" s="13"/>
      <c r="C204" s="13"/>
      <c r="D204" s="13"/>
      <c r="E204" s="13"/>
      <c r="F204" s="19"/>
      <c r="G204" s="13"/>
      <c r="H204" s="13"/>
      <c r="I204" s="13"/>
      <c r="J204" s="19"/>
      <c r="K204" s="19"/>
      <c r="L204" s="19"/>
      <c r="M204" s="13"/>
      <c r="N204" s="13"/>
      <c r="O204" s="13"/>
      <c r="P204" s="13"/>
      <c r="Q204" s="31"/>
      <c r="R204" s="31"/>
      <c r="S204" s="31"/>
      <c r="T204" s="31"/>
      <c r="U204" s="31"/>
    </row>
    <row r="205" spans="1:21" ht="20.100000000000001" customHeight="1">
      <c r="A205" s="14"/>
      <c r="B205" s="14"/>
      <c r="C205" s="14"/>
      <c r="D205" s="14"/>
      <c r="E205" s="14"/>
      <c r="F205" s="20"/>
      <c r="G205" s="14"/>
      <c r="H205" s="14"/>
      <c r="I205" s="14"/>
      <c r="J205" s="20"/>
      <c r="K205" s="20"/>
      <c r="L205" s="20"/>
      <c r="M205" s="14"/>
      <c r="N205" s="14"/>
      <c r="O205" s="14"/>
      <c r="P205" s="14"/>
      <c r="Q205" s="31"/>
      <c r="R205" s="31"/>
      <c r="S205" s="31"/>
      <c r="T205" s="31"/>
      <c r="U205" s="3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Listák!$B$2:$B$12</xm:f>
          </x14:formula1>
          <xm:sqref>D6:D205</xm:sqref>
        </x14:dataValidation>
        <x14:dataValidation type="list" xr:uid="{00000000-0002-0000-0200-000001000000}">
          <x14:formula1>
            <xm:f>Listák!$G$2:$G$3</xm:f>
          </x14:formula1>
          <xm:sqref>H6:H205</xm:sqref>
        </x14:dataValidation>
        <x14:dataValidation type="list" xr:uid="{00000000-0002-0000-0200-000002000000}">
          <x14:formula1>
            <xm:f>Listák!$H$2:$H$5</xm:f>
          </x14:formula1>
          <xm:sqref>M6:M205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2:U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2" width="18" customWidth="1"/>
    <col min="3" max="3" width="12" customWidth="1"/>
    <col min="4" max="4" width="30" customWidth="1"/>
    <col min="5" max="5" width="20" customWidth="1"/>
    <col min="6" max="6" width="30" customWidth="1"/>
    <col min="7" max="7" width="15" customWidth="1"/>
    <col min="8" max="11" width="18" customWidth="1"/>
    <col min="12" max="13" width="25" customWidth="1"/>
    <col min="14" max="14" width="34" customWidth="1"/>
  </cols>
  <sheetData>
    <row r="2" spans="1:21" ht="19.5">
      <c r="A2" s="2" t="s">
        <v>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1">
      <c r="A3" s="3" t="s">
        <v>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21" ht="42" customHeight="1">
      <c r="A5" s="9" t="s">
        <v>54</v>
      </c>
      <c r="B5" s="10" t="s">
        <v>39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50</v>
      </c>
      <c r="M5" s="10" t="s">
        <v>51</v>
      </c>
      <c r="N5" s="11" t="s">
        <v>37</v>
      </c>
    </row>
    <row r="6" spans="1:21" ht="20.100000000000001" customHeight="1">
      <c r="A6" s="12"/>
      <c r="B6" s="12"/>
      <c r="C6" s="12"/>
      <c r="D6" s="12"/>
      <c r="E6" s="12"/>
      <c r="F6" s="12"/>
      <c r="G6" s="18"/>
      <c r="H6" s="18"/>
      <c r="I6" s="18"/>
      <c r="J6" s="18"/>
      <c r="K6" s="21" t="str">
        <f t="shared" ref="K6:K37" si="0">IF(A6="","",IF(OR(G6="",H6="",H6=0),"",G6/H6))</f>
        <v/>
      </c>
      <c r="L6" s="12"/>
      <c r="M6" s="12"/>
      <c r="N6" s="12"/>
      <c r="O6" s="31"/>
      <c r="P6" s="31"/>
      <c r="Q6" s="31"/>
      <c r="R6" s="31"/>
      <c r="S6" s="31"/>
      <c r="T6" s="31"/>
      <c r="U6" s="31"/>
    </row>
    <row r="7" spans="1:21" ht="20.100000000000001" customHeight="1">
      <c r="A7" s="13"/>
      <c r="B7" s="13"/>
      <c r="C7" s="13"/>
      <c r="D7" s="13"/>
      <c r="E7" s="13"/>
      <c r="F7" s="13"/>
      <c r="G7" s="19"/>
      <c r="H7" s="19"/>
      <c r="I7" s="19"/>
      <c r="J7" s="19"/>
      <c r="K7" s="21" t="str">
        <f t="shared" si="0"/>
        <v/>
      </c>
      <c r="L7" s="13"/>
      <c r="M7" s="13"/>
      <c r="N7" s="13"/>
      <c r="O7" s="31"/>
      <c r="P7" s="31"/>
      <c r="Q7" s="31"/>
      <c r="R7" s="31"/>
      <c r="S7" s="31"/>
      <c r="T7" s="31"/>
      <c r="U7" s="31"/>
    </row>
    <row r="8" spans="1:21" ht="20.100000000000001" customHeight="1">
      <c r="A8" s="13"/>
      <c r="B8" s="13"/>
      <c r="C8" s="13"/>
      <c r="D8" s="13"/>
      <c r="E8" s="13"/>
      <c r="F8" s="13"/>
      <c r="G8" s="19"/>
      <c r="H8" s="19"/>
      <c r="I8" s="19"/>
      <c r="J8" s="19"/>
      <c r="K8" s="21" t="str">
        <f t="shared" si="0"/>
        <v/>
      </c>
      <c r="L8" s="13"/>
      <c r="M8" s="13"/>
      <c r="N8" s="13"/>
      <c r="O8" s="31"/>
      <c r="P8" s="31"/>
      <c r="Q8" s="31"/>
      <c r="R8" s="31"/>
      <c r="S8" s="31"/>
      <c r="T8" s="31"/>
      <c r="U8" s="31"/>
    </row>
    <row r="9" spans="1:21" ht="20.100000000000001" customHeight="1">
      <c r="A9" s="13"/>
      <c r="B9" s="13"/>
      <c r="C9" s="13"/>
      <c r="D9" s="13"/>
      <c r="E9" s="13"/>
      <c r="F9" s="13"/>
      <c r="G9" s="19"/>
      <c r="H9" s="19"/>
      <c r="I9" s="19"/>
      <c r="J9" s="19"/>
      <c r="K9" s="21" t="str">
        <f t="shared" si="0"/>
        <v/>
      </c>
      <c r="L9" s="13"/>
      <c r="M9" s="13"/>
      <c r="N9" s="13"/>
      <c r="O9" s="31"/>
      <c r="P9" s="31"/>
      <c r="Q9" s="31"/>
      <c r="R9" s="31"/>
      <c r="S9" s="31"/>
      <c r="T9" s="31"/>
      <c r="U9" s="31"/>
    </row>
    <row r="10" spans="1:21" ht="20.100000000000001" customHeight="1">
      <c r="A10" s="13"/>
      <c r="B10" s="13"/>
      <c r="C10" s="13"/>
      <c r="D10" s="13"/>
      <c r="E10" s="13"/>
      <c r="F10" s="13"/>
      <c r="G10" s="19"/>
      <c r="H10" s="19"/>
      <c r="I10" s="19"/>
      <c r="J10" s="19"/>
      <c r="K10" s="21" t="str">
        <f t="shared" si="0"/>
        <v/>
      </c>
      <c r="L10" s="13"/>
      <c r="M10" s="13"/>
      <c r="N10" s="13"/>
      <c r="O10" s="31"/>
      <c r="P10" s="31"/>
      <c r="Q10" s="31"/>
      <c r="R10" s="31"/>
      <c r="S10" s="31"/>
      <c r="T10" s="31"/>
      <c r="U10" s="31"/>
    </row>
    <row r="11" spans="1:21" ht="20.100000000000001" customHeight="1">
      <c r="A11" s="13"/>
      <c r="B11" s="13"/>
      <c r="C11" s="13"/>
      <c r="D11" s="13"/>
      <c r="E11" s="13"/>
      <c r="F11" s="13"/>
      <c r="G11" s="19"/>
      <c r="H11" s="19"/>
      <c r="I11" s="19"/>
      <c r="J11" s="19"/>
      <c r="K11" s="21" t="str">
        <f t="shared" si="0"/>
        <v/>
      </c>
      <c r="L11" s="13"/>
      <c r="M11" s="13"/>
      <c r="N11" s="13"/>
      <c r="O11" s="31"/>
      <c r="P11" s="31"/>
      <c r="Q11" s="31"/>
      <c r="R11" s="31"/>
      <c r="S11" s="31"/>
      <c r="T11" s="31"/>
      <c r="U11" s="31"/>
    </row>
    <row r="12" spans="1:21" ht="20.100000000000001" customHeight="1">
      <c r="A12" s="13"/>
      <c r="B12" s="13"/>
      <c r="C12" s="13"/>
      <c r="D12" s="13"/>
      <c r="E12" s="13"/>
      <c r="F12" s="13"/>
      <c r="G12" s="19"/>
      <c r="H12" s="19"/>
      <c r="I12" s="19"/>
      <c r="J12" s="19"/>
      <c r="K12" s="21" t="str">
        <f t="shared" si="0"/>
        <v/>
      </c>
      <c r="L12" s="13"/>
      <c r="M12" s="13"/>
      <c r="N12" s="13"/>
      <c r="O12" s="31"/>
      <c r="P12" s="31"/>
      <c r="Q12" s="31"/>
      <c r="R12" s="31"/>
      <c r="S12" s="31"/>
      <c r="T12" s="31"/>
      <c r="U12" s="31"/>
    </row>
    <row r="13" spans="1:21" ht="20.100000000000001" customHeight="1">
      <c r="A13" s="13"/>
      <c r="B13" s="13"/>
      <c r="C13" s="13"/>
      <c r="D13" s="13"/>
      <c r="E13" s="13"/>
      <c r="F13" s="13"/>
      <c r="G13" s="19"/>
      <c r="H13" s="19"/>
      <c r="I13" s="19"/>
      <c r="J13" s="19"/>
      <c r="K13" s="21" t="str">
        <f t="shared" si="0"/>
        <v/>
      </c>
      <c r="L13" s="13"/>
      <c r="M13" s="13"/>
      <c r="N13" s="13"/>
      <c r="O13" s="31"/>
      <c r="P13" s="31"/>
      <c r="Q13" s="31"/>
      <c r="R13" s="31"/>
      <c r="S13" s="31"/>
      <c r="T13" s="31"/>
      <c r="U13" s="31"/>
    </row>
    <row r="14" spans="1:21" ht="20.100000000000001" customHeight="1">
      <c r="A14" s="13"/>
      <c r="B14" s="13"/>
      <c r="C14" s="13"/>
      <c r="D14" s="13"/>
      <c r="E14" s="13"/>
      <c r="F14" s="13"/>
      <c r="G14" s="19"/>
      <c r="H14" s="19"/>
      <c r="I14" s="19"/>
      <c r="J14" s="19"/>
      <c r="K14" s="21" t="str">
        <f t="shared" si="0"/>
        <v/>
      </c>
      <c r="L14" s="13"/>
      <c r="M14" s="13"/>
      <c r="N14" s="13"/>
      <c r="O14" s="31"/>
      <c r="P14" s="31"/>
      <c r="Q14" s="31"/>
      <c r="R14" s="31"/>
      <c r="S14" s="31"/>
      <c r="T14" s="31"/>
      <c r="U14" s="31"/>
    </row>
    <row r="15" spans="1:21" ht="20.100000000000001" customHeight="1">
      <c r="A15" s="13"/>
      <c r="B15" s="13"/>
      <c r="C15" s="13"/>
      <c r="D15" s="13"/>
      <c r="E15" s="13"/>
      <c r="F15" s="13"/>
      <c r="G15" s="19"/>
      <c r="H15" s="19"/>
      <c r="I15" s="19"/>
      <c r="J15" s="19"/>
      <c r="K15" s="21" t="str">
        <f t="shared" si="0"/>
        <v/>
      </c>
      <c r="L15" s="13"/>
      <c r="M15" s="13"/>
      <c r="N15" s="13"/>
      <c r="O15" s="31"/>
      <c r="P15" s="31"/>
      <c r="Q15" s="31"/>
      <c r="R15" s="31"/>
      <c r="S15" s="31"/>
      <c r="T15" s="31"/>
      <c r="U15" s="31"/>
    </row>
    <row r="16" spans="1:21" ht="20.100000000000001" customHeight="1">
      <c r="A16" s="13"/>
      <c r="B16" s="13"/>
      <c r="C16" s="13"/>
      <c r="D16" s="13"/>
      <c r="E16" s="13"/>
      <c r="F16" s="13"/>
      <c r="G16" s="19"/>
      <c r="H16" s="19"/>
      <c r="I16" s="19"/>
      <c r="J16" s="19"/>
      <c r="K16" s="21" t="str">
        <f t="shared" si="0"/>
        <v/>
      </c>
      <c r="L16" s="13"/>
      <c r="M16" s="13"/>
      <c r="N16" s="13"/>
      <c r="O16" s="31"/>
      <c r="P16" s="31"/>
      <c r="Q16" s="31"/>
      <c r="R16" s="31"/>
      <c r="S16" s="31"/>
      <c r="T16" s="31"/>
      <c r="U16" s="31"/>
    </row>
    <row r="17" spans="1:21" ht="20.100000000000001" customHeight="1">
      <c r="A17" s="13"/>
      <c r="B17" s="13"/>
      <c r="C17" s="13"/>
      <c r="D17" s="13"/>
      <c r="E17" s="13"/>
      <c r="F17" s="13"/>
      <c r="G17" s="19"/>
      <c r="H17" s="19"/>
      <c r="I17" s="19"/>
      <c r="J17" s="19"/>
      <c r="K17" s="21" t="str">
        <f t="shared" si="0"/>
        <v/>
      </c>
      <c r="L17" s="13"/>
      <c r="M17" s="13"/>
      <c r="N17" s="13"/>
      <c r="O17" s="31"/>
      <c r="P17" s="31"/>
      <c r="Q17" s="31"/>
      <c r="R17" s="31"/>
      <c r="S17" s="31"/>
      <c r="T17" s="31"/>
      <c r="U17" s="31"/>
    </row>
    <row r="18" spans="1:21" ht="20.100000000000001" customHeight="1">
      <c r="A18" s="13"/>
      <c r="B18" s="13"/>
      <c r="C18" s="13"/>
      <c r="D18" s="13"/>
      <c r="E18" s="13"/>
      <c r="F18" s="13"/>
      <c r="G18" s="19"/>
      <c r="H18" s="19"/>
      <c r="I18" s="19"/>
      <c r="J18" s="19"/>
      <c r="K18" s="21" t="str">
        <f t="shared" si="0"/>
        <v/>
      </c>
      <c r="L18" s="13"/>
      <c r="M18" s="13"/>
      <c r="N18" s="13"/>
      <c r="O18" s="31"/>
      <c r="P18" s="31"/>
      <c r="Q18" s="31"/>
      <c r="R18" s="31"/>
      <c r="S18" s="31"/>
      <c r="T18" s="31"/>
      <c r="U18" s="31"/>
    </row>
    <row r="19" spans="1:21" ht="20.100000000000001" customHeight="1">
      <c r="A19" s="13"/>
      <c r="B19" s="13"/>
      <c r="C19" s="13"/>
      <c r="D19" s="13"/>
      <c r="E19" s="13"/>
      <c r="F19" s="13"/>
      <c r="G19" s="19"/>
      <c r="H19" s="19"/>
      <c r="I19" s="19"/>
      <c r="J19" s="19"/>
      <c r="K19" s="21" t="str">
        <f t="shared" si="0"/>
        <v/>
      </c>
      <c r="L19" s="13"/>
      <c r="M19" s="13"/>
      <c r="N19" s="13"/>
      <c r="O19" s="31"/>
      <c r="P19" s="31"/>
      <c r="Q19" s="31"/>
      <c r="R19" s="31"/>
      <c r="S19" s="31"/>
      <c r="T19" s="31"/>
      <c r="U19" s="31"/>
    </row>
    <row r="20" spans="1:21" ht="20.100000000000001" customHeight="1">
      <c r="A20" s="13"/>
      <c r="B20" s="13"/>
      <c r="C20" s="13"/>
      <c r="D20" s="13"/>
      <c r="E20" s="13"/>
      <c r="F20" s="13"/>
      <c r="G20" s="19"/>
      <c r="H20" s="19"/>
      <c r="I20" s="19"/>
      <c r="J20" s="19"/>
      <c r="K20" s="21" t="str">
        <f t="shared" si="0"/>
        <v/>
      </c>
      <c r="L20" s="13"/>
      <c r="M20" s="13"/>
      <c r="N20" s="13"/>
      <c r="O20" s="31"/>
      <c r="P20" s="31"/>
      <c r="Q20" s="31"/>
      <c r="R20" s="31"/>
      <c r="S20" s="31"/>
      <c r="T20" s="31"/>
      <c r="U20" s="31"/>
    </row>
    <row r="21" spans="1:21" ht="20.100000000000001" customHeight="1">
      <c r="A21" s="13"/>
      <c r="B21" s="13"/>
      <c r="C21" s="13"/>
      <c r="D21" s="13"/>
      <c r="E21" s="13"/>
      <c r="F21" s="13"/>
      <c r="G21" s="19"/>
      <c r="H21" s="19"/>
      <c r="I21" s="19"/>
      <c r="J21" s="19"/>
      <c r="K21" s="21" t="str">
        <f t="shared" si="0"/>
        <v/>
      </c>
      <c r="L21" s="13"/>
      <c r="M21" s="13"/>
      <c r="N21" s="13"/>
      <c r="O21" s="31"/>
      <c r="P21" s="31"/>
      <c r="Q21" s="31"/>
      <c r="R21" s="31"/>
      <c r="S21" s="31"/>
      <c r="T21" s="31"/>
      <c r="U21" s="31"/>
    </row>
    <row r="22" spans="1:21" ht="20.100000000000001" customHeight="1">
      <c r="A22" s="13"/>
      <c r="B22" s="13"/>
      <c r="C22" s="13"/>
      <c r="D22" s="13"/>
      <c r="E22" s="13"/>
      <c r="F22" s="13"/>
      <c r="G22" s="19"/>
      <c r="H22" s="19"/>
      <c r="I22" s="19"/>
      <c r="J22" s="19"/>
      <c r="K22" s="21" t="str">
        <f t="shared" si="0"/>
        <v/>
      </c>
      <c r="L22" s="13"/>
      <c r="M22" s="13"/>
      <c r="N22" s="13"/>
      <c r="O22" s="31"/>
      <c r="P22" s="31"/>
      <c r="Q22" s="31"/>
      <c r="R22" s="31"/>
      <c r="S22" s="31"/>
      <c r="T22" s="31"/>
      <c r="U22" s="31"/>
    </row>
    <row r="23" spans="1:21" ht="20.100000000000001" customHeight="1">
      <c r="A23" s="13"/>
      <c r="B23" s="13"/>
      <c r="C23" s="13"/>
      <c r="D23" s="13"/>
      <c r="E23" s="13"/>
      <c r="F23" s="13"/>
      <c r="G23" s="19"/>
      <c r="H23" s="19"/>
      <c r="I23" s="19"/>
      <c r="J23" s="19"/>
      <c r="K23" s="21" t="str">
        <f t="shared" si="0"/>
        <v/>
      </c>
      <c r="L23" s="13"/>
      <c r="M23" s="13"/>
      <c r="N23" s="13"/>
      <c r="O23" s="31"/>
      <c r="P23" s="31"/>
      <c r="Q23" s="31"/>
      <c r="R23" s="31"/>
      <c r="S23" s="31"/>
      <c r="T23" s="31"/>
      <c r="U23" s="31"/>
    </row>
    <row r="24" spans="1:21" ht="20.100000000000001" customHeight="1">
      <c r="A24" s="13"/>
      <c r="B24" s="13"/>
      <c r="C24" s="13"/>
      <c r="D24" s="13"/>
      <c r="E24" s="13"/>
      <c r="F24" s="13"/>
      <c r="G24" s="19"/>
      <c r="H24" s="19"/>
      <c r="I24" s="19"/>
      <c r="J24" s="19"/>
      <c r="K24" s="21" t="str">
        <f t="shared" si="0"/>
        <v/>
      </c>
      <c r="L24" s="13"/>
      <c r="M24" s="13"/>
      <c r="N24" s="13"/>
      <c r="O24" s="31"/>
      <c r="P24" s="31"/>
      <c r="Q24" s="31"/>
      <c r="R24" s="31"/>
      <c r="S24" s="31"/>
      <c r="T24" s="31"/>
      <c r="U24" s="31"/>
    </row>
    <row r="25" spans="1:21" ht="20.100000000000001" customHeight="1">
      <c r="A25" s="13"/>
      <c r="B25" s="13"/>
      <c r="C25" s="13"/>
      <c r="D25" s="13"/>
      <c r="E25" s="13"/>
      <c r="F25" s="13"/>
      <c r="G25" s="19"/>
      <c r="H25" s="19"/>
      <c r="I25" s="19"/>
      <c r="J25" s="19"/>
      <c r="K25" s="21" t="str">
        <f t="shared" si="0"/>
        <v/>
      </c>
      <c r="L25" s="13"/>
      <c r="M25" s="13"/>
      <c r="N25" s="13"/>
      <c r="O25" s="31"/>
      <c r="P25" s="31"/>
      <c r="Q25" s="31"/>
      <c r="R25" s="31"/>
      <c r="S25" s="31"/>
      <c r="T25" s="31"/>
      <c r="U25" s="31"/>
    </row>
    <row r="26" spans="1:21" ht="20.100000000000001" customHeight="1">
      <c r="A26" s="13"/>
      <c r="B26" s="13"/>
      <c r="C26" s="13"/>
      <c r="D26" s="13"/>
      <c r="E26" s="13"/>
      <c r="F26" s="13"/>
      <c r="G26" s="19"/>
      <c r="H26" s="19"/>
      <c r="I26" s="19"/>
      <c r="J26" s="19"/>
      <c r="K26" s="21" t="str">
        <f t="shared" si="0"/>
        <v/>
      </c>
      <c r="L26" s="13"/>
      <c r="M26" s="13"/>
      <c r="N26" s="13"/>
      <c r="O26" s="31"/>
      <c r="P26" s="31"/>
      <c r="Q26" s="31"/>
      <c r="R26" s="31"/>
      <c r="S26" s="31"/>
      <c r="T26" s="31"/>
      <c r="U26" s="31"/>
    </row>
    <row r="27" spans="1:21" ht="20.100000000000001" customHeight="1">
      <c r="A27" s="13"/>
      <c r="B27" s="13"/>
      <c r="C27" s="13"/>
      <c r="D27" s="13"/>
      <c r="E27" s="13"/>
      <c r="F27" s="13"/>
      <c r="G27" s="19"/>
      <c r="H27" s="19"/>
      <c r="I27" s="19"/>
      <c r="J27" s="19"/>
      <c r="K27" s="21" t="str">
        <f t="shared" si="0"/>
        <v/>
      </c>
      <c r="L27" s="13"/>
      <c r="M27" s="13"/>
      <c r="N27" s="13"/>
      <c r="O27" s="31"/>
      <c r="P27" s="31"/>
      <c r="Q27" s="31"/>
      <c r="R27" s="31"/>
      <c r="S27" s="31"/>
      <c r="T27" s="31"/>
      <c r="U27" s="31"/>
    </row>
    <row r="28" spans="1:21" ht="20.100000000000001" customHeight="1">
      <c r="A28" s="13"/>
      <c r="B28" s="13"/>
      <c r="C28" s="13"/>
      <c r="D28" s="13"/>
      <c r="E28" s="13"/>
      <c r="F28" s="13"/>
      <c r="G28" s="19"/>
      <c r="H28" s="19"/>
      <c r="I28" s="19"/>
      <c r="J28" s="19"/>
      <c r="K28" s="21" t="str">
        <f t="shared" si="0"/>
        <v/>
      </c>
      <c r="L28" s="13"/>
      <c r="M28" s="13"/>
      <c r="N28" s="13"/>
      <c r="O28" s="31"/>
      <c r="P28" s="31"/>
      <c r="Q28" s="31"/>
      <c r="R28" s="31"/>
      <c r="S28" s="31"/>
      <c r="T28" s="31"/>
      <c r="U28" s="31"/>
    </row>
    <row r="29" spans="1:21" ht="20.100000000000001" customHeight="1">
      <c r="A29" s="13"/>
      <c r="B29" s="13"/>
      <c r="C29" s="13"/>
      <c r="D29" s="13"/>
      <c r="E29" s="13"/>
      <c r="F29" s="13"/>
      <c r="G29" s="19"/>
      <c r="H29" s="19"/>
      <c r="I29" s="19"/>
      <c r="J29" s="19"/>
      <c r="K29" s="21" t="str">
        <f t="shared" si="0"/>
        <v/>
      </c>
      <c r="L29" s="13"/>
      <c r="M29" s="13"/>
      <c r="N29" s="13"/>
      <c r="O29" s="31"/>
      <c r="P29" s="31"/>
      <c r="Q29" s="31"/>
      <c r="R29" s="31"/>
      <c r="S29" s="31"/>
      <c r="T29" s="31"/>
      <c r="U29" s="31"/>
    </row>
    <row r="30" spans="1:21" ht="20.100000000000001" customHeight="1">
      <c r="A30" s="13"/>
      <c r="B30" s="13"/>
      <c r="C30" s="13"/>
      <c r="D30" s="13"/>
      <c r="E30" s="13"/>
      <c r="F30" s="13"/>
      <c r="G30" s="19"/>
      <c r="H30" s="19"/>
      <c r="I30" s="19"/>
      <c r="J30" s="19"/>
      <c r="K30" s="21" t="str">
        <f t="shared" si="0"/>
        <v/>
      </c>
      <c r="L30" s="13"/>
      <c r="M30" s="13"/>
      <c r="N30" s="13"/>
      <c r="O30" s="31"/>
      <c r="P30" s="31"/>
      <c r="Q30" s="31"/>
      <c r="R30" s="31"/>
      <c r="S30" s="31"/>
      <c r="T30" s="31"/>
      <c r="U30" s="31"/>
    </row>
    <row r="31" spans="1:21" ht="20.100000000000001" customHeight="1">
      <c r="A31" s="13"/>
      <c r="B31" s="13"/>
      <c r="C31" s="13"/>
      <c r="D31" s="13"/>
      <c r="E31" s="13"/>
      <c r="F31" s="13"/>
      <c r="G31" s="19"/>
      <c r="H31" s="19"/>
      <c r="I31" s="19"/>
      <c r="J31" s="19"/>
      <c r="K31" s="21" t="str">
        <f t="shared" si="0"/>
        <v/>
      </c>
      <c r="L31" s="13"/>
      <c r="M31" s="13"/>
      <c r="N31" s="13"/>
      <c r="O31" s="31"/>
      <c r="P31" s="31"/>
      <c r="Q31" s="31"/>
      <c r="R31" s="31"/>
      <c r="S31" s="31"/>
      <c r="T31" s="31"/>
      <c r="U31" s="31"/>
    </row>
    <row r="32" spans="1:21" ht="20.100000000000001" customHeight="1">
      <c r="A32" s="13"/>
      <c r="B32" s="13"/>
      <c r="C32" s="13"/>
      <c r="D32" s="13"/>
      <c r="E32" s="13"/>
      <c r="F32" s="13"/>
      <c r="G32" s="19"/>
      <c r="H32" s="19"/>
      <c r="I32" s="19"/>
      <c r="J32" s="19"/>
      <c r="K32" s="21" t="str">
        <f t="shared" si="0"/>
        <v/>
      </c>
      <c r="L32" s="13"/>
      <c r="M32" s="13"/>
      <c r="N32" s="13"/>
      <c r="O32" s="31"/>
      <c r="P32" s="31"/>
      <c r="Q32" s="31"/>
      <c r="R32" s="31"/>
      <c r="S32" s="31"/>
      <c r="T32" s="31"/>
      <c r="U32" s="31"/>
    </row>
    <row r="33" spans="1:21" ht="20.100000000000001" customHeight="1">
      <c r="A33" s="13"/>
      <c r="B33" s="13"/>
      <c r="C33" s="13"/>
      <c r="D33" s="13"/>
      <c r="E33" s="13"/>
      <c r="F33" s="13"/>
      <c r="G33" s="19"/>
      <c r="H33" s="19"/>
      <c r="I33" s="19"/>
      <c r="J33" s="19"/>
      <c r="K33" s="21" t="str">
        <f t="shared" si="0"/>
        <v/>
      </c>
      <c r="L33" s="13"/>
      <c r="M33" s="13"/>
      <c r="N33" s="13"/>
      <c r="O33" s="31"/>
      <c r="P33" s="31"/>
      <c r="Q33" s="31"/>
      <c r="R33" s="31"/>
      <c r="S33" s="31"/>
      <c r="T33" s="31"/>
      <c r="U33" s="31"/>
    </row>
    <row r="34" spans="1:21" ht="20.100000000000001" customHeight="1">
      <c r="A34" s="13"/>
      <c r="B34" s="13"/>
      <c r="C34" s="13"/>
      <c r="D34" s="13"/>
      <c r="E34" s="13"/>
      <c r="F34" s="13"/>
      <c r="G34" s="19"/>
      <c r="H34" s="19"/>
      <c r="I34" s="19"/>
      <c r="J34" s="19"/>
      <c r="K34" s="21" t="str">
        <f t="shared" si="0"/>
        <v/>
      </c>
      <c r="L34" s="13"/>
      <c r="M34" s="13"/>
      <c r="N34" s="13"/>
      <c r="O34" s="31"/>
      <c r="P34" s="31"/>
      <c r="Q34" s="31"/>
      <c r="R34" s="31"/>
      <c r="S34" s="31"/>
      <c r="T34" s="31"/>
      <c r="U34" s="31"/>
    </row>
    <row r="35" spans="1:21" ht="20.100000000000001" customHeight="1">
      <c r="A35" s="13"/>
      <c r="B35" s="13"/>
      <c r="C35" s="13"/>
      <c r="D35" s="13"/>
      <c r="E35" s="13"/>
      <c r="F35" s="13"/>
      <c r="G35" s="19"/>
      <c r="H35" s="19"/>
      <c r="I35" s="19"/>
      <c r="J35" s="19"/>
      <c r="K35" s="21" t="str">
        <f t="shared" si="0"/>
        <v/>
      </c>
      <c r="L35" s="13"/>
      <c r="M35" s="13"/>
      <c r="N35" s="13"/>
      <c r="O35" s="31"/>
      <c r="P35" s="31"/>
      <c r="Q35" s="31"/>
      <c r="R35" s="31"/>
      <c r="S35" s="31"/>
      <c r="T35" s="31"/>
      <c r="U35" s="31"/>
    </row>
    <row r="36" spans="1:21" ht="20.100000000000001" customHeight="1">
      <c r="A36" s="13"/>
      <c r="B36" s="13"/>
      <c r="C36" s="13"/>
      <c r="D36" s="13"/>
      <c r="E36" s="13"/>
      <c r="F36" s="13"/>
      <c r="G36" s="19"/>
      <c r="H36" s="19"/>
      <c r="I36" s="19"/>
      <c r="J36" s="19"/>
      <c r="K36" s="21" t="str">
        <f t="shared" si="0"/>
        <v/>
      </c>
      <c r="L36" s="13"/>
      <c r="M36" s="13"/>
      <c r="N36" s="13"/>
      <c r="O36" s="31"/>
      <c r="P36" s="31"/>
      <c r="Q36" s="31"/>
      <c r="R36" s="31"/>
      <c r="S36" s="31"/>
      <c r="T36" s="31"/>
      <c r="U36" s="31"/>
    </row>
    <row r="37" spans="1:21" ht="20.100000000000001" customHeight="1">
      <c r="A37" s="13"/>
      <c r="B37" s="13"/>
      <c r="C37" s="13"/>
      <c r="D37" s="13"/>
      <c r="E37" s="13"/>
      <c r="F37" s="13"/>
      <c r="G37" s="19"/>
      <c r="H37" s="19"/>
      <c r="I37" s="19"/>
      <c r="J37" s="19"/>
      <c r="K37" s="21" t="str">
        <f t="shared" si="0"/>
        <v/>
      </c>
      <c r="L37" s="13"/>
      <c r="M37" s="13"/>
      <c r="N37" s="13"/>
      <c r="O37" s="31"/>
      <c r="P37" s="31"/>
      <c r="Q37" s="31"/>
      <c r="R37" s="31"/>
      <c r="S37" s="31"/>
      <c r="T37" s="31"/>
      <c r="U37" s="31"/>
    </row>
    <row r="38" spans="1:21" ht="20.100000000000001" customHeight="1">
      <c r="A38" s="13"/>
      <c r="B38" s="13"/>
      <c r="C38" s="13"/>
      <c r="D38" s="13"/>
      <c r="E38" s="13"/>
      <c r="F38" s="13"/>
      <c r="G38" s="19"/>
      <c r="H38" s="19"/>
      <c r="I38" s="19"/>
      <c r="J38" s="19"/>
      <c r="K38" s="21" t="str">
        <f t="shared" ref="K38:K69" si="1">IF(A38="","",IF(OR(G38="",H38="",H38=0),"",G38/H38))</f>
        <v/>
      </c>
      <c r="L38" s="13"/>
      <c r="M38" s="13"/>
      <c r="N38" s="13"/>
      <c r="O38" s="31"/>
      <c r="P38" s="31"/>
      <c r="Q38" s="31"/>
      <c r="R38" s="31"/>
      <c r="S38" s="31"/>
      <c r="T38" s="31"/>
      <c r="U38" s="31"/>
    </row>
    <row r="39" spans="1:21" ht="20.100000000000001" customHeight="1">
      <c r="A39" s="13"/>
      <c r="B39" s="13"/>
      <c r="C39" s="13"/>
      <c r="D39" s="13"/>
      <c r="E39" s="13"/>
      <c r="F39" s="13"/>
      <c r="G39" s="19"/>
      <c r="H39" s="19"/>
      <c r="I39" s="19"/>
      <c r="J39" s="19"/>
      <c r="K39" s="21" t="str">
        <f t="shared" si="1"/>
        <v/>
      </c>
      <c r="L39" s="13"/>
      <c r="M39" s="13"/>
      <c r="N39" s="13"/>
      <c r="O39" s="31"/>
      <c r="P39" s="31"/>
      <c r="Q39" s="31"/>
      <c r="R39" s="31"/>
      <c r="S39" s="31"/>
      <c r="T39" s="31"/>
      <c r="U39" s="31"/>
    </row>
    <row r="40" spans="1:21" ht="20.100000000000001" customHeight="1">
      <c r="A40" s="13"/>
      <c r="B40" s="13"/>
      <c r="C40" s="13"/>
      <c r="D40" s="13"/>
      <c r="E40" s="13"/>
      <c r="F40" s="13"/>
      <c r="G40" s="19"/>
      <c r="H40" s="19"/>
      <c r="I40" s="19"/>
      <c r="J40" s="19"/>
      <c r="K40" s="21" t="str">
        <f t="shared" si="1"/>
        <v/>
      </c>
      <c r="L40" s="13"/>
      <c r="M40" s="13"/>
      <c r="N40" s="13"/>
      <c r="O40" s="31"/>
      <c r="P40" s="31"/>
      <c r="Q40" s="31"/>
      <c r="R40" s="31"/>
      <c r="S40" s="31"/>
      <c r="T40" s="31"/>
      <c r="U40" s="31"/>
    </row>
    <row r="41" spans="1:21" ht="20.100000000000001" customHeight="1">
      <c r="A41" s="13"/>
      <c r="B41" s="13"/>
      <c r="C41" s="13"/>
      <c r="D41" s="13"/>
      <c r="E41" s="13"/>
      <c r="F41" s="13"/>
      <c r="G41" s="19"/>
      <c r="H41" s="19"/>
      <c r="I41" s="19"/>
      <c r="J41" s="19"/>
      <c r="K41" s="21" t="str">
        <f t="shared" si="1"/>
        <v/>
      </c>
      <c r="L41" s="13"/>
      <c r="M41" s="13"/>
      <c r="N41" s="13"/>
      <c r="O41" s="31"/>
      <c r="P41" s="31"/>
      <c r="Q41" s="31"/>
      <c r="R41" s="31"/>
      <c r="S41" s="31"/>
      <c r="T41" s="31"/>
      <c r="U41" s="31"/>
    </row>
    <row r="42" spans="1:21" ht="20.100000000000001" customHeight="1">
      <c r="A42" s="13"/>
      <c r="B42" s="13"/>
      <c r="C42" s="13"/>
      <c r="D42" s="13"/>
      <c r="E42" s="13"/>
      <c r="F42" s="13"/>
      <c r="G42" s="19"/>
      <c r="H42" s="19"/>
      <c r="I42" s="19"/>
      <c r="J42" s="19"/>
      <c r="K42" s="21" t="str">
        <f t="shared" si="1"/>
        <v/>
      </c>
      <c r="L42" s="13"/>
      <c r="M42" s="13"/>
      <c r="N42" s="13"/>
      <c r="O42" s="31"/>
      <c r="P42" s="31"/>
      <c r="Q42" s="31"/>
      <c r="R42" s="31"/>
      <c r="S42" s="31"/>
      <c r="T42" s="31"/>
      <c r="U42" s="31"/>
    </row>
    <row r="43" spans="1:21" ht="20.100000000000001" customHeight="1">
      <c r="A43" s="13"/>
      <c r="B43" s="13"/>
      <c r="C43" s="13"/>
      <c r="D43" s="13"/>
      <c r="E43" s="13"/>
      <c r="F43" s="13"/>
      <c r="G43" s="19"/>
      <c r="H43" s="19"/>
      <c r="I43" s="19"/>
      <c r="J43" s="19"/>
      <c r="K43" s="21" t="str">
        <f t="shared" si="1"/>
        <v/>
      </c>
      <c r="L43" s="13"/>
      <c r="M43" s="13"/>
      <c r="N43" s="13"/>
      <c r="O43" s="31"/>
      <c r="P43" s="31"/>
      <c r="Q43" s="31"/>
      <c r="R43" s="31"/>
      <c r="S43" s="31"/>
      <c r="T43" s="31"/>
      <c r="U43" s="31"/>
    </row>
    <row r="44" spans="1:21" ht="20.100000000000001" customHeight="1">
      <c r="A44" s="13"/>
      <c r="B44" s="13"/>
      <c r="C44" s="13"/>
      <c r="D44" s="13"/>
      <c r="E44" s="13"/>
      <c r="F44" s="13"/>
      <c r="G44" s="19"/>
      <c r="H44" s="19"/>
      <c r="I44" s="19"/>
      <c r="J44" s="19"/>
      <c r="K44" s="21" t="str">
        <f t="shared" si="1"/>
        <v/>
      </c>
      <c r="L44" s="13"/>
      <c r="M44" s="13"/>
      <c r="N44" s="13"/>
      <c r="O44" s="31"/>
      <c r="P44" s="31"/>
      <c r="Q44" s="31"/>
      <c r="R44" s="31"/>
      <c r="S44" s="31"/>
      <c r="T44" s="31"/>
      <c r="U44" s="31"/>
    </row>
    <row r="45" spans="1:21" ht="20.100000000000001" customHeight="1">
      <c r="A45" s="13"/>
      <c r="B45" s="13"/>
      <c r="C45" s="13"/>
      <c r="D45" s="13"/>
      <c r="E45" s="13"/>
      <c r="F45" s="13"/>
      <c r="G45" s="19"/>
      <c r="H45" s="19"/>
      <c r="I45" s="19"/>
      <c r="J45" s="19"/>
      <c r="K45" s="21" t="str">
        <f t="shared" si="1"/>
        <v/>
      </c>
      <c r="L45" s="13"/>
      <c r="M45" s="13"/>
      <c r="N45" s="13"/>
      <c r="O45" s="31"/>
      <c r="P45" s="31"/>
      <c r="Q45" s="31"/>
      <c r="R45" s="31"/>
      <c r="S45" s="31"/>
      <c r="T45" s="31"/>
      <c r="U45" s="31"/>
    </row>
    <row r="46" spans="1:21" ht="20.100000000000001" customHeight="1">
      <c r="A46" s="13"/>
      <c r="B46" s="13"/>
      <c r="C46" s="13"/>
      <c r="D46" s="13"/>
      <c r="E46" s="13"/>
      <c r="F46" s="13"/>
      <c r="G46" s="19"/>
      <c r="H46" s="19"/>
      <c r="I46" s="19"/>
      <c r="J46" s="19"/>
      <c r="K46" s="21" t="str">
        <f t="shared" si="1"/>
        <v/>
      </c>
      <c r="L46" s="13"/>
      <c r="M46" s="13"/>
      <c r="N46" s="13"/>
      <c r="O46" s="31"/>
      <c r="P46" s="31"/>
      <c r="Q46" s="31"/>
      <c r="R46" s="31"/>
      <c r="S46" s="31"/>
      <c r="T46" s="31"/>
      <c r="U46" s="31"/>
    </row>
    <row r="47" spans="1:21" ht="20.100000000000001" customHeight="1">
      <c r="A47" s="13"/>
      <c r="B47" s="13"/>
      <c r="C47" s="13"/>
      <c r="D47" s="13"/>
      <c r="E47" s="13"/>
      <c r="F47" s="13"/>
      <c r="G47" s="19"/>
      <c r="H47" s="19"/>
      <c r="I47" s="19"/>
      <c r="J47" s="19"/>
      <c r="K47" s="21" t="str">
        <f t="shared" si="1"/>
        <v/>
      </c>
      <c r="L47" s="13"/>
      <c r="M47" s="13"/>
      <c r="N47" s="13"/>
      <c r="O47" s="31"/>
      <c r="P47" s="31"/>
      <c r="Q47" s="31"/>
      <c r="R47" s="31"/>
      <c r="S47" s="31"/>
      <c r="T47" s="31"/>
      <c r="U47" s="31"/>
    </row>
    <row r="48" spans="1:21" ht="20.100000000000001" customHeight="1">
      <c r="A48" s="13"/>
      <c r="B48" s="13"/>
      <c r="C48" s="13"/>
      <c r="D48" s="13"/>
      <c r="E48" s="13"/>
      <c r="F48" s="13"/>
      <c r="G48" s="19"/>
      <c r="H48" s="19"/>
      <c r="I48" s="19"/>
      <c r="J48" s="19"/>
      <c r="K48" s="21" t="str">
        <f t="shared" si="1"/>
        <v/>
      </c>
      <c r="L48" s="13"/>
      <c r="M48" s="13"/>
      <c r="N48" s="13"/>
      <c r="O48" s="31"/>
      <c r="P48" s="31"/>
      <c r="Q48" s="31"/>
      <c r="R48" s="31"/>
      <c r="S48" s="31"/>
      <c r="T48" s="31"/>
      <c r="U48" s="31"/>
    </row>
    <row r="49" spans="1:21" ht="20.100000000000001" customHeight="1">
      <c r="A49" s="13"/>
      <c r="B49" s="13"/>
      <c r="C49" s="13"/>
      <c r="D49" s="13"/>
      <c r="E49" s="13"/>
      <c r="F49" s="13"/>
      <c r="G49" s="19"/>
      <c r="H49" s="19"/>
      <c r="I49" s="19"/>
      <c r="J49" s="19"/>
      <c r="K49" s="21" t="str">
        <f t="shared" si="1"/>
        <v/>
      </c>
      <c r="L49" s="13"/>
      <c r="M49" s="13"/>
      <c r="N49" s="13"/>
      <c r="O49" s="31"/>
      <c r="P49" s="31"/>
      <c r="Q49" s="31"/>
      <c r="R49" s="31"/>
      <c r="S49" s="31"/>
      <c r="T49" s="31"/>
      <c r="U49" s="31"/>
    </row>
    <row r="50" spans="1:21" ht="20.100000000000001" customHeight="1">
      <c r="A50" s="13"/>
      <c r="B50" s="13"/>
      <c r="C50" s="13"/>
      <c r="D50" s="13"/>
      <c r="E50" s="13"/>
      <c r="F50" s="13"/>
      <c r="G50" s="19"/>
      <c r="H50" s="19"/>
      <c r="I50" s="19"/>
      <c r="J50" s="19"/>
      <c r="K50" s="21" t="str">
        <f t="shared" si="1"/>
        <v/>
      </c>
      <c r="L50" s="13"/>
      <c r="M50" s="13"/>
      <c r="N50" s="13"/>
      <c r="O50" s="31"/>
      <c r="P50" s="31"/>
      <c r="Q50" s="31"/>
      <c r="R50" s="31"/>
      <c r="S50" s="31"/>
      <c r="T50" s="31"/>
      <c r="U50" s="31"/>
    </row>
    <row r="51" spans="1:21" ht="20.100000000000001" customHeight="1">
      <c r="A51" s="13"/>
      <c r="B51" s="13"/>
      <c r="C51" s="13"/>
      <c r="D51" s="13"/>
      <c r="E51" s="13"/>
      <c r="F51" s="13"/>
      <c r="G51" s="19"/>
      <c r="H51" s="19"/>
      <c r="I51" s="19"/>
      <c r="J51" s="19"/>
      <c r="K51" s="21" t="str">
        <f t="shared" si="1"/>
        <v/>
      </c>
      <c r="L51" s="13"/>
      <c r="M51" s="13"/>
      <c r="N51" s="13"/>
      <c r="O51" s="31"/>
      <c r="P51" s="31"/>
      <c r="Q51" s="31"/>
      <c r="R51" s="31"/>
      <c r="S51" s="31"/>
      <c r="T51" s="31"/>
      <c r="U51" s="31"/>
    </row>
    <row r="52" spans="1:21" ht="20.100000000000001" customHeight="1">
      <c r="A52" s="13"/>
      <c r="B52" s="13"/>
      <c r="C52" s="13"/>
      <c r="D52" s="13"/>
      <c r="E52" s="13"/>
      <c r="F52" s="13"/>
      <c r="G52" s="19"/>
      <c r="H52" s="19"/>
      <c r="I52" s="19"/>
      <c r="J52" s="19"/>
      <c r="K52" s="21" t="str">
        <f t="shared" si="1"/>
        <v/>
      </c>
      <c r="L52" s="13"/>
      <c r="M52" s="13"/>
      <c r="N52" s="13"/>
      <c r="O52" s="31"/>
      <c r="P52" s="31"/>
      <c r="Q52" s="31"/>
      <c r="R52" s="31"/>
      <c r="S52" s="31"/>
      <c r="T52" s="31"/>
      <c r="U52" s="31"/>
    </row>
    <row r="53" spans="1:21" ht="20.100000000000001" customHeight="1">
      <c r="A53" s="13"/>
      <c r="B53" s="13"/>
      <c r="C53" s="13"/>
      <c r="D53" s="13"/>
      <c r="E53" s="13"/>
      <c r="F53" s="13"/>
      <c r="G53" s="19"/>
      <c r="H53" s="19"/>
      <c r="I53" s="19"/>
      <c r="J53" s="19"/>
      <c r="K53" s="21" t="str">
        <f t="shared" si="1"/>
        <v/>
      </c>
      <c r="L53" s="13"/>
      <c r="M53" s="13"/>
      <c r="N53" s="13"/>
      <c r="O53" s="31"/>
      <c r="P53" s="31"/>
      <c r="Q53" s="31"/>
      <c r="R53" s="31"/>
      <c r="S53" s="31"/>
      <c r="T53" s="31"/>
      <c r="U53" s="31"/>
    </row>
    <row r="54" spans="1:21" ht="20.100000000000001" customHeight="1">
      <c r="A54" s="13"/>
      <c r="B54" s="13"/>
      <c r="C54" s="13"/>
      <c r="D54" s="13"/>
      <c r="E54" s="13"/>
      <c r="F54" s="13"/>
      <c r="G54" s="19"/>
      <c r="H54" s="19"/>
      <c r="I54" s="19"/>
      <c r="J54" s="19"/>
      <c r="K54" s="21" t="str">
        <f t="shared" si="1"/>
        <v/>
      </c>
      <c r="L54" s="13"/>
      <c r="M54" s="13"/>
      <c r="N54" s="13"/>
      <c r="O54" s="31"/>
      <c r="P54" s="31"/>
      <c r="Q54" s="31"/>
      <c r="R54" s="31"/>
      <c r="S54" s="31"/>
      <c r="T54" s="31"/>
      <c r="U54" s="31"/>
    </row>
    <row r="55" spans="1:21" ht="20.100000000000001" customHeight="1">
      <c r="A55" s="13"/>
      <c r="B55" s="13"/>
      <c r="C55" s="13"/>
      <c r="D55" s="13"/>
      <c r="E55" s="13"/>
      <c r="F55" s="13"/>
      <c r="G55" s="19"/>
      <c r="H55" s="19"/>
      <c r="I55" s="19"/>
      <c r="J55" s="19"/>
      <c r="K55" s="21" t="str">
        <f t="shared" si="1"/>
        <v/>
      </c>
      <c r="L55" s="13"/>
      <c r="M55" s="13"/>
      <c r="N55" s="13"/>
      <c r="O55" s="31"/>
      <c r="P55" s="31"/>
      <c r="Q55" s="31"/>
      <c r="R55" s="31"/>
      <c r="S55" s="31"/>
      <c r="T55" s="31"/>
      <c r="U55" s="31"/>
    </row>
    <row r="56" spans="1:21" ht="20.100000000000001" customHeight="1">
      <c r="A56" s="13"/>
      <c r="B56" s="13"/>
      <c r="C56" s="13"/>
      <c r="D56" s="13"/>
      <c r="E56" s="13"/>
      <c r="F56" s="13"/>
      <c r="G56" s="19"/>
      <c r="H56" s="19"/>
      <c r="I56" s="19"/>
      <c r="J56" s="19"/>
      <c r="K56" s="21" t="str">
        <f t="shared" si="1"/>
        <v/>
      </c>
      <c r="L56" s="13"/>
      <c r="M56" s="13"/>
      <c r="N56" s="13"/>
      <c r="O56" s="31"/>
      <c r="P56" s="31"/>
      <c r="Q56" s="31"/>
      <c r="R56" s="31"/>
      <c r="S56" s="31"/>
      <c r="T56" s="31"/>
      <c r="U56" s="31"/>
    </row>
    <row r="57" spans="1:21" ht="20.100000000000001" customHeight="1">
      <c r="A57" s="13"/>
      <c r="B57" s="13"/>
      <c r="C57" s="13"/>
      <c r="D57" s="13"/>
      <c r="E57" s="13"/>
      <c r="F57" s="13"/>
      <c r="G57" s="19"/>
      <c r="H57" s="19"/>
      <c r="I57" s="19"/>
      <c r="J57" s="19"/>
      <c r="K57" s="21" t="str">
        <f t="shared" si="1"/>
        <v/>
      </c>
      <c r="L57" s="13"/>
      <c r="M57" s="13"/>
      <c r="N57" s="13"/>
      <c r="O57" s="31"/>
      <c r="P57" s="31"/>
      <c r="Q57" s="31"/>
      <c r="R57" s="31"/>
      <c r="S57" s="31"/>
      <c r="T57" s="31"/>
      <c r="U57" s="31"/>
    </row>
    <row r="58" spans="1:21" ht="20.100000000000001" customHeight="1">
      <c r="A58" s="13"/>
      <c r="B58" s="13"/>
      <c r="C58" s="13"/>
      <c r="D58" s="13"/>
      <c r="E58" s="13"/>
      <c r="F58" s="13"/>
      <c r="G58" s="19"/>
      <c r="H58" s="19"/>
      <c r="I58" s="19"/>
      <c r="J58" s="19"/>
      <c r="K58" s="21" t="str">
        <f t="shared" si="1"/>
        <v/>
      </c>
      <c r="L58" s="13"/>
      <c r="M58" s="13"/>
      <c r="N58" s="13"/>
      <c r="O58" s="31"/>
      <c r="P58" s="31"/>
      <c r="Q58" s="31"/>
      <c r="R58" s="31"/>
      <c r="S58" s="31"/>
      <c r="T58" s="31"/>
      <c r="U58" s="31"/>
    </row>
    <row r="59" spans="1:21" ht="20.100000000000001" customHeight="1">
      <c r="A59" s="13"/>
      <c r="B59" s="13"/>
      <c r="C59" s="13"/>
      <c r="D59" s="13"/>
      <c r="E59" s="13"/>
      <c r="F59" s="13"/>
      <c r="G59" s="19"/>
      <c r="H59" s="19"/>
      <c r="I59" s="19"/>
      <c r="J59" s="19"/>
      <c r="K59" s="21" t="str">
        <f t="shared" si="1"/>
        <v/>
      </c>
      <c r="L59" s="13"/>
      <c r="M59" s="13"/>
      <c r="N59" s="13"/>
      <c r="O59" s="31"/>
      <c r="P59" s="31"/>
      <c r="Q59" s="31"/>
      <c r="R59" s="31"/>
      <c r="S59" s="31"/>
      <c r="T59" s="31"/>
      <c r="U59" s="31"/>
    </row>
    <row r="60" spans="1:21" ht="20.100000000000001" customHeight="1">
      <c r="A60" s="13"/>
      <c r="B60" s="13"/>
      <c r="C60" s="13"/>
      <c r="D60" s="13"/>
      <c r="E60" s="13"/>
      <c r="F60" s="13"/>
      <c r="G60" s="19"/>
      <c r="H60" s="19"/>
      <c r="I60" s="19"/>
      <c r="J60" s="19"/>
      <c r="K60" s="21" t="str">
        <f t="shared" si="1"/>
        <v/>
      </c>
      <c r="L60" s="13"/>
      <c r="M60" s="13"/>
      <c r="N60" s="13"/>
      <c r="O60" s="31"/>
      <c r="P60" s="31"/>
      <c r="Q60" s="31"/>
      <c r="R60" s="31"/>
      <c r="S60" s="31"/>
      <c r="T60" s="31"/>
      <c r="U60" s="31"/>
    </row>
    <row r="61" spans="1:21" ht="20.100000000000001" customHeight="1">
      <c r="A61" s="13"/>
      <c r="B61" s="13"/>
      <c r="C61" s="13"/>
      <c r="D61" s="13"/>
      <c r="E61" s="13"/>
      <c r="F61" s="13"/>
      <c r="G61" s="19"/>
      <c r="H61" s="19"/>
      <c r="I61" s="19"/>
      <c r="J61" s="19"/>
      <c r="K61" s="21" t="str">
        <f t="shared" si="1"/>
        <v/>
      </c>
      <c r="L61" s="13"/>
      <c r="M61" s="13"/>
      <c r="N61" s="13"/>
      <c r="O61" s="31"/>
      <c r="P61" s="31"/>
      <c r="Q61" s="31"/>
      <c r="R61" s="31"/>
      <c r="S61" s="31"/>
      <c r="T61" s="31"/>
      <c r="U61" s="31"/>
    </row>
    <row r="62" spans="1:21" ht="20.100000000000001" customHeight="1">
      <c r="A62" s="13"/>
      <c r="B62" s="13"/>
      <c r="C62" s="13"/>
      <c r="D62" s="13"/>
      <c r="E62" s="13"/>
      <c r="F62" s="13"/>
      <c r="G62" s="19"/>
      <c r="H62" s="19"/>
      <c r="I62" s="19"/>
      <c r="J62" s="19"/>
      <c r="K62" s="21" t="str">
        <f t="shared" si="1"/>
        <v/>
      </c>
      <c r="L62" s="13"/>
      <c r="M62" s="13"/>
      <c r="N62" s="13"/>
      <c r="O62" s="31"/>
      <c r="P62" s="31"/>
      <c r="Q62" s="31"/>
      <c r="R62" s="31"/>
      <c r="S62" s="31"/>
      <c r="T62" s="31"/>
      <c r="U62" s="31"/>
    </row>
    <row r="63" spans="1:21" ht="20.100000000000001" customHeight="1">
      <c r="A63" s="13"/>
      <c r="B63" s="13"/>
      <c r="C63" s="13"/>
      <c r="D63" s="13"/>
      <c r="E63" s="13"/>
      <c r="F63" s="13"/>
      <c r="G63" s="19"/>
      <c r="H63" s="19"/>
      <c r="I63" s="19"/>
      <c r="J63" s="19"/>
      <c r="K63" s="21" t="str">
        <f t="shared" si="1"/>
        <v/>
      </c>
      <c r="L63" s="13"/>
      <c r="M63" s="13"/>
      <c r="N63" s="13"/>
      <c r="O63" s="31"/>
      <c r="P63" s="31"/>
      <c r="Q63" s="31"/>
      <c r="R63" s="31"/>
      <c r="S63" s="31"/>
      <c r="T63" s="31"/>
      <c r="U63" s="31"/>
    </row>
    <row r="64" spans="1:21" ht="20.100000000000001" customHeight="1">
      <c r="A64" s="13"/>
      <c r="B64" s="13"/>
      <c r="C64" s="13"/>
      <c r="D64" s="13"/>
      <c r="E64" s="13"/>
      <c r="F64" s="13"/>
      <c r="G64" s="19"/>
      <c r="H64" s="19"/>
      <c r="I64" s="19"/>
      <c r="J64" s="19"/>
      <c r="K64" s="21" t="str">
        <f t="shared" si="1"/>
        <v/>
      </c>
      <c r="L64" s="13"/>
      <c r="M64" s="13"/>
      <c r="N64" s="13"/>
      <c r="O64" s="31"/>
      <c r="P64" s="31"/>
      <c r="Q64" s="31"/>
      <c r="R64" s="31"/>
      <c r="S64" s="31"/>
      <c r="T64" s="31"/>
      <c r="U64" s="31"/>
    </row>
    <row r="65" spans="1:21" ht="20.100000000000001" customHeight="1">
      <c r="A65" s="13"/>
      <c r="B65" s="13"/>
      <c r="C65" s="13"/>
      <c r="D65" s="13"/>
      <c r="E65" s="13"/>
      <c r="F65" s="13"/>
      <c r="G65" s="19"/>
      <c r="H65" s="19"/>
      <c r="I65" s="19"/>
      <c r="J65" s="19"/>
      <c r="K65" s="21" t="str">
        <f t="shared" si="1"/>
        <v/>
      </c>
      <c r="L65" s="13"/>
      <c r="M65" s="13"/>
      <c r="N65" s="13"/>
      <c r="O65" s="31"/>
      <c r="P65" s="31"/>
      <c r="Q65" s="31"/>
      <c r="R65" s="31"/>
      <c r="S65" s="31"/>
      <c r="T65" s="31"/>
      <c r="U65" s="31"/>
    </row>
    <row r="66" spans="1:21" ht="20.100000000000001" customHeight="1">
      <c r="A66" s="13"/>
      <c r="B66" s="13"/>
      <c r="C66" s="13"/>
      <c r="D66" s="13"/>
      <c r="E66" s="13"/>
      <c r="F66" s="13"/>
      <c r="G66" s="19"/>
      <c r="H66" s="19"/>
      <c r="I66" s="19"/>
      <c r="J66" s="19"/>
      <c r="K66" s="21" t="str">
        <f t="shared" si="1"/>
        <v/>
      </c>
      <c r="L66" s="13"/>
      <c r="M66" s="13"/>
      <c r="N66" s="13"/>
      <c r="O66" s="31"/>
      <c r="P66" s="31"/>
      <c r="Q66" s="31"/>
      <c r="R66" s="31"/>
      <c r="S66" s="31"/>
      <c r="T66" s="31"/>
      <c r="U66" s="31"/>
    </row>
    <row r="67" spans="1:21" ht="20.100000000000001" customHeight="1">
      <c r="A67" s="13"/>
      <c r="B67" s="13"/>
      <c r="C67" s="13"/>
      <c r="D67" s="13"/>
      <c r="E67" s="13"/>
      <c r="F67" s="13"/>
      <c r="G67" s="19"/>
      <c r="H67" s="19"/>
      <c r="I67" s="19"/>
      <c r="J67" s="19"/>
      <c r="K67" s="21" t="str">
        <f t="shared" si="1"/>
        <v/>
      </c>
      <c r="L67" s="13"/>
      <c r="M67" s="13"/>
      <c r="N67" s="13"/>
      <c r="O67" s="31"/>
      <c r="P67" s="31"/>
      <c r="Q67" s="31"/>
      <c r="R67" s="31"/>
      <c r="S67" s="31"/>
      <c r="T67" s="31"/>
      <c r="U67" s="31"/>
    </row>
    <row r="68" spans="1:21" ht="20.100000000000001" customHeight="1">
      <c r="A68" s="13"/>
      <c r="B68" s="13"/>
      <c r="C68" s="13"/>
      <c r="D68" s="13"/>
      <c r="E68" s="13"/>
      <c r="F68" s="13"/>
      <c r="G68" s="19"/>
      <c r="H68" s="19"/>
      <c r="I68" s="19"/>
      <c r="J68" s="19"/>
      <c r="K68" s="21" t="str">
        <f t="shared" si="1"/>
        <v/>
      </c>
      <c r="L68" s="13"/>
      <c r="M68" s="13"/>
      <c r="N68" s="13"/>
      <c r="O68" s="31"/>
      <c r="P68" s="31"/>
      <c r="Q68" s="31"/>
      <c r="R68" s="31"/>
      <c r="S68" s="31"/>
      <c r="T68" s="31"/>
      <c r="U68" s="31"/>
    </row>
    <row r="69" spans="1:21" ht="20.100000000000001" customHeight="1">
      <c r="A69" s="13"/>
      <c r="B69" s="13"/>
      <c r="C69" s="13"/>
      <c r="D69" s="13"/>
      <c r="E69" s="13"/>
      <c r="F69" s="13"/>
      <c r="G69" s="19"/>
      <c r="H69" s="19"/>
      <c r="I69" s="19"/>
      <c r="J69" s="19"/>
      <c r="K69" s="21" t="str">
        <f t="shared" si="1"/>
        <v/>
      </c>
      <c r="L69" s="13"/>
      <c r="M69" s="13"/>
      <c r="N69" s="13"/>
      <c r="O69" s="31"/>
      <c r="P69" s="31"/>
      <c r="Q69" s="31"/>
      <c r="R69" s="31"/>
      <c r="S69" s="31"/>
      <c r="T69" s="31"/>
      <c r="U69" s="31"/>
    </row>
    <row r="70" spans="1:21" ht="20.100000000000001" customHeight="1">
      <c r="A70" s="13"/>
      <c r="B70" s="13"/>
      <c r="C70" s="13"/>
      <c r="D70" s="13"/>
      <c r="E70" s="13"/>
      <c r="F70" s="13"/>
      <c r="G70" s="19"/>
      <c r="H70" s="19"/>
      <c r="I70" s="19"/>
      <c r="J70" s="19"/>
      <c r="K70" s="21" t="str">
        <f t="shared" ref="K70:K101" si="2">IF(A70="","",IF(OR(G70="",H70="",H70=0),"",G70/H70))</f>
        <v/>
      </c>
      <c r="L70" s="13"/>
      <c r="M70" s="13"/>
      <c r="N70" s="13"/>
      <c r="O70" s="31"/>
      <c r="P70" s="31"/>
      <c r="Q70" s="31"/>
      <c r="R70" s="31"/>
      <c r="S70" s="31"/>
      <c r="T70" s="31"/>
      <c r="U70" s="31"/>
    </row>
    <row r="71" spans="1:21" ht="20.100000000000001" customHeight="1">
      <c r="A71" s="13"/>
      <c r="B71" s="13"/>
      <c r="C71" s="13"/>
      <c r="D71" s="13"/>
      <c r="E71" s="13"/>
      <c r="F71" s="13"/>
      <c r="G71" s="19"/>
      <c r="H71" s="19"/>
      <c r="I71" s="19"/>
      <c r="J71" s="19"/>
      <c r="K71" s="21" t="str">
        <f t="shared" si="2"/>
        <v/>
      </c>
      <c r="L71" s="13"/>
      <c r="M71" s="13"/>
      <c r="N71" s="13"/>
      <c r="O71" s="31"/>
      <c r="P71" s="31"/>
      <c r="Q71" s="31"/>
      <c r="R71" s="31"/>
      <c r="S71" s="31"/>
      <c r="T71" s="31"/>
      <c r="U71" s="31"/>
    </row>
    <row r="72" spans="1:21" ht="20.100000000000001" customHeight="1">
      <c r="A72" s="13"/>
      <c r="B72" s="13"/>
      <c r="C72" s="13"/>
      <c r="D72" s="13"/>
      <c r="E72" s="13"/>
      <c r="F72" s="13"/>
      <c r="G72" s="19"/>
      <c r="H72" s="19"/>
      <c r="I72" s="19"/>
      <c r="J72" s="19"/>
      <c r="K72" s="21" t="str">
        <f t="shared" si="2"/>
        <v/>
      </c>
      <c r="L72" s="13"/>
      <c r="M72" s="13"/>
      <c r="N72" s="13"/>
      <c r="O72" s="31"/>
      <c r="P72" s="31"/>
      <c r="Q72" s="31"/>
      <c r="R72" s="31"/>
      <c r="S72" s="31"/>
      <c r="T72" s="31"/>
      <c r="U72" s="31"/>
    </row>
    <row r="73" spans="1:21" ht="20.100000000000001" customHeight="1">
      <c r="A73" s="13"/>
      <c r="B73" s="13"/>
      <c r="C73" s="13"/>
      <c r="D73" s="13"/>
      <c r="E73" s="13"/>
      <c r="F73" s="13"/>
      <c r="G73" s="19"/>
      <c r="H73" s="19"/>
      <c r="I73" s="19"/>
      <c r="J73" s="19"/>
      <c r="K73" s="21" t="str">
        <f t="shared" si="2"/>
        <v/>
      </c>
      <c r="L73" s="13"/>
      <c r="M73" s="13"/>
      <c r="N73" s="13"/>
      <c r="O73" s="31"/>
      <c r="P73" s="31"/>
      <c r="Q73" s="31"/>
      <c r="R73" s="31"/>
      <c r="S73" s="31"/>
      <c r="T73" s="31"/>
      <c r="U73" s="31"/>
    </row>
    <row r="74" spans="1:21" ht="20.100000000000001" customHeight="1">
      <c r="A74" s="13"/>
      <c r="B74" s="13"/>
      <c r="C74" s="13"/>
      <c r="D74" s="13"/>
      <c r="E74" s="13"/>
      <c r="F74" s="13"/>
      <c r="G74" s="19"/>
      <c r="H74" s="19"/>
      <c r="I74" s="19"/>
      <c r="J74" s="19"/>
      <c r="K74" s="21" t="str">
        <f t="shared" si="2"/>
        <v/>
      </c>
      <c r="L74" s="13"/>
      <c r="M74" s="13"/>
      <c r="N74" s="13"/>
      <c r="O74" s="31"/>
      <c r="P74" s="31"/>
      <c r="Q74" s="31"/>
      <c r="R74" s="31"/>
      <c r="S74" s="31"/>
      <c r="T74" s="31"/>
      <c r="U74" s="31"/>
    </row>
    <row r="75" spans="1:21" ht="20.100000000000001" customHeight="1">
      <c r="A75" s="13"/>
      <c r="B75" s="13"/>
      <c r="C75" s="13"/>
      <c r="D75" s="13"/>
      <c r="E75" s="13"/>
      <c r="F75" s="13"/>
      <c r="G75" s="19"/>
      <c r="H75" s="19"/>
      <c r="I75" s="19"/>
      <c r="J75" s="19"/>
      <c r="K75" s="21" t="str">
        <f t="shared" si="2"/>
        <v/>
      </c>
      <c r="L75" s="13"/>
      <c r="M75" s="13"/>
      <c r="N75" s="13"/>
      <c r="O75" s="31"/>
      <c r="P75" s="31"/>
      <c r="Q75" s="31"/>
      <c r="R75" s="31"/>
      <c r="S75" s="31"/>
      <c r="T75" s="31"/>
      <c r="U75" s="31"/>
    </row>
    <row r="76" spans="1:21" ht="20.100000000000001" customHeight="1">
      <c r="A76" s="13"/>
      <c r="B76" s="13"/>
      <c r="C76" s="13"/>
      <c r="D76" s="13"/>
      <c r="E76" s="13"/>
      <c r="F76" s="13"/>
      <c r="G76" s="19"/>
      <c r="H76" s="19"/>
      <c r="I76" s="19"/>
      <c r="J76" s="19"/>
      <c r="K76" s="21" t="str">
        <f t="shared" si="2"/>
        <v/>
      </c>
      <c r="L76" s="13"/>
      <c r="M76" s="13"/>
      <c r="N76" s="13"/>
      <c r="O76" s="31"/>
      <c r="P76" s="31"/>
      <c r="Q76" s="31"/>
      <c r="R76" s="31"/>
      <c r="S76" s="31"/>
      <c r="T76" s="31"/>
      <c r="U76" s="31"/>
    </row>
    <row r="77" spans="1:21" ht="20.100000000000001" customHeight="1">
      <c r="A77" s="13"/>
      <c r="B77" s="13"/>
      <c r="C77" s="13"/>
      <c r="D77" s="13"/>
      <c r="E77" s="13"/>
      <c r="F77" s="13"/>
      <c r="G77" s="19"/>
      <c r="H77" s="19"/>
      <c r="I77" s="19"/>
      <c r="J77" s="19"/>
      <c r="K77" s="21" t="str">
        <f t="shared" si="2"/>
        <v/>
      </c>
      <c r="L77" s="13"/>
      <c r="M77" s="13"/>
      <c r="N77" s="13"/>
      <c r="O77" s="31"/>
      <c r="P77" s="31"/>
      <c r="Q77" s="31"/>
      <c r="R77" s="31"/>
      <c r="S77" s="31"/>
      <c r="T77" s="31"/>
      <c r="U77" s="31"/>
    </row>
    <row r="78" spans="1:21" ht="20.100000000000001" customHeight="1">
      <c r="A78" s="13"/>
      <c r="B78" s="13"/>
      <c r="C78" s="13"/>
      <c r="D78" s="13"/>
      <c r="E78" s="13"/>
      <c r="F78" s="13"/>
      <c r="G78" s="19"/>
      <c r="H78" s="19"/>
      <c r="I78" s="19"/>
      <c r="J78" s="19"/>
      <c r="K78" s="21" t="str">
        <f t="shared" si="2"/>
        <v/>
      </c>
      <c r="L78" s="13"/>
      <c r="M78" s="13"/>
      <c r="N78" s="13"/>
      <c r="O78" s="31"/>
      <c r="P78" s="31"/>
      <c r="Q78" s="31"/>
      <c r="R78" s="31"/>
      <c r="S78" s="31"/>
      <c r="T78" s="31"/>
      <c r="U78" s="31"/>
    </row>
    <row r="79" spans="1:21" ht="20.100000000000001" customHeight="1">
      <c r="A79" s="13"/>
      <c r="B79" s="13"/>
      <c r="C79" s="13"/>
      <c r="D79" s="13"/>
      <c r="E79" s="13"/>
      <c r="F79" s="13"/>
      <c r="G79" s="19"/>
      <c r="H79" s="19"/>
      <c r="I79" s="19"/>
      <c r="J79" s="19"/>
      <c r="K79" s="21" t="str">
        <f t="shared" si="2"/>
        <v/>
      </c>
      <c r="L79" s="13"/>
      <c r="M79" s="13"/>
      <c r="N79" s="13"/>
      <c r="O79" s="31"/>
      <c r="P79" s="31"/>
      <c r="Q79" s="31"/>
      <c r="R79" s="31"/>
      <c r="S79" s="31"/>
      <c r="T79" s="31"/>
      <c r="U79" s="31"/>
    </row>
    <row r="80" spans="1:21" ht="20.100000000000001" customHeight="1">
      <c r="A80" s="13"/>
      <c r="B80" s="13"/>
      <c r="C80" s="13"/>
      <c r="D80" s="13"/>
      <c r="E80" s="13"/>
      <c r="F80" s="13"/>
      <c r="G80" s="19"/>
      <c r="H80" s="19"/>
      <c r="I80" s="19"/>
      <c r="J80" s="19"/>
      <c r="K80" s="21" t="str">
        <f t="shared" si="2"/>
        <v/>
      </c>
      <c r="L80" s="13"/>
      <c r="M80" s="13"/>
      <c r="N80" s="13"/>
      <c r="O80" s="31"/>
      <c r="P80" s="31"/>
      <c r="Q80" s="31"/>
      <c r="R80" s="31"/>
      <c r="S80" s="31"/>
      <c r="T80" s="31"/>
      <c r="U80" s="31"/>
    </row>
    <row r="81" spans="1:21" ht="20.100000000000001" customHeight="1">
      <c r="A81" s="13"/>
      <c r="B81" s="13"/>
      <c r="C81" s="13"/>
      <c r="D81" s="13"/>
      <c r="E81" s="13"/>
      <c r="F81" s="13"/>
      <c r="G81" s="19"/>
      <c r="H81" s="19"/>
      <c r="I81" s="19"/>
      <c r="J81" s="19"/>
      <c r="K81" s="21" t="str">
        <f t="shared" si="2"/>
        <v/>
      </c>
      <c r="L81" s="13"/>
      <c r="M81" s="13"/>
      <c r="N81" s="13"/>
      <c r="O81" s="31"/>
      <c r="P81" s="31"/>
      <c r="Q81" s="31"/>
      <c r="R81" s="31"/>
      <c r="S81" s="31"/>
      <c r="T81" s="31"/>
      <c r="U81" s="31"/>
    </row>
    <row r="82" spans="1:21" ht="20.100000000000001" customHeight="1">
      <c r="A82" s="13"/>
      <c r="B82" s="13"/>
      <c r="C82" s="13"/>
      <c r="D82" s="13"/>
      <c r="E82" s="13"/>
      <c r="F82" s="13"/>
      <c r="G82" s="19"/>
      <c r="H82" s="19"/>
      <c r="I82" s="19"/>
      <c r="J82" s="19"/>
      <c r="K82" s="21" t="str">
        <f t="shared" si="2"/>
        <v/>
      </c>
      <c r="L82" s="13"/>
      <c r="M82" s="13"/>
      <c r="N82" s="13"/>
      <c r="O82" s="31"/>
      <c r="P82" s="31"/>
      <c r="Q82" s="31"/>
      <c r="R82" s="31"/>
      <c r="S82" s="31"/>
      <c r="T82" s="31"/>
      <c r="U82" s="31"/>
    </row>
    <row r="83" spans="1:21" ht="20.100000000000001" customHeight="1">
      <c r="A83" s="13"/>
      <c r="B83" s="13"/>
      <c r="C83" s="13"/>
      <c r="D83" s="13"/>
      <c r="E83" s="13"/>
      <c r="F83" s="13"/>
      <c r="G83" s="19"/>
      <c r="H83" s="19"/>
      <c r="I83" s="19"/>
      <c r="J83" s="19"/>
      <c r="K83" s="21" t="str">
        <f t="shared" si="2"/>
        <v/>
      </c>
      <c r="L83" s="13"/>
      <c r="M83" s="13"/>
      <c r="N83" s="13"/>
      <c r="O83" s="31"/>
      <c r="P83" s="31"/>
      <c r="Q83" s="31"/>
      <c r="R83" s="31"/>
      <c r="S83" s="31"/>
      <c r="T83" s="31"/>
      <c r="U83" s="31"/>
    </row>
    <row r="84" spans="1:21" ht="20.100000000000001" customHeight="1">
      <c r="A84" s="13"/>
      <c r="B84" s="13"/>
      <c r="C84" s="13"/>
      <c r="D84" s="13"/>
      <c r="E84" s="13"/>
      <c r="F84" s="13"/>
      <c r="G84" s="19"/>
      <c r="H84" s="19"/>
      <c r="I84" s="19"/>
      <c r="J84" s="19"/>
      <c r="K84" s="21" t="str">
        <f t="shared" si="2"/>
        <v/>
      </c>
      <c r="L84" s="13"/>
      <c r="M84" s="13"/>
      <c r="N84" s="13"/>
      <c r="O84" s="31"/>
      <c r="P84" s="31"/>
      <c r="Q84" s="31"/>
      <c r="R84" s="31"/>
      <c r="S84" s="31"/>
      <c r="T84" s="31"/>
      <c r="U84" s="31"/>
    </row>
    <row r="85" spans="1:21" ht="20.100000000000001" customHeight="1">
      <c r="A85" s="13"/>
      <c r="B85" s="13"/>
      <c r="C85" s="13"/>
      <c r="D85" s="13"/>
      <c r="E85" s="13"/>
      <c r="F85" s="13"/>
      <c r="G85" s="19"/>
      <c r="H85" s="19"/>
      <c r="I85" s="19"/>
      <c r="J85" s="19"/>
      <c r="K85" s="21" t="str">
        <f t="shared" si="2"/>
        <v/>
      </c>
      <c r="L85" s="13"/>
      <c r="M85" s="13"/>
      <c r="N85" s="13"/>
      <c r="O85" s="31"/>
      <c r="P85" s="31"/>
      <c r="Q85" s="31"/>
      <c r="R85" s="31"/>
      <c r="S85" s="31"/>
      <c r="T85" s="31"/>
      <c r="U85" s="31"/>
    </row>
    <row r="86" spans="1:21" ht="20.100000000000001" customHeight="1">
      <c r="A86" s="13"/>
      <c r="B86" s="13"/>
      <c r="C86" s="13"/>
      <c r="D86" s="13"/>
      <c r="E86" s="13"/>
      <c r="F86" s="13"/>
      <c r="G86" s="19"/>
      <c r="H86" s="19"/>
      <c r="I86" s="19"/>
      <c r="J86" s="19"/>
      <c r="K86" s="21" t="str">
        <f t="shared" si="2"/>
        <v/>
      </c>
      <c r="L86" s="13"/>
      <c r="M86" s="13"/>
      <c r="N86" s="13"/>
      <c r="O86" s="31"/>
      <c r="P86" s="31"/>
      <c r="Q86" s="31"/>
      <c r="R86" s="31"/>
      <c r="S86" s="31"/>
      <c r="T86" s="31"/>
      <c r="U86" s="31"/>
    </row>
    <row r="87" spans="1:21" ht="20.100000000000001" customHeight="1">
      <c r="A87" s="13"/>
      <c r="B87" s="13"/>
      <c r="C87" s="13"/>
      <c r="D87" s="13"/>
      <c r="E87" s="13"/>
      <c r="F87" s="13"/>
      <c r="G87" s="19"/>
      <c r="H87" s="19"/>
      <c r="I87" s="19"/>
      <c r="J87" s="19"/>
      <c r="K87" s="21" t="str">
        <f t="shared" si="2"/>
        <v/>
      </c>
      <c r="L87" s="13"/>
      <c r="M87" s="13"/>
      <c r="N87" s="13"/>
      <c r="O87" s="31"/>
      <c r="P87" s="31"/>
      <c r="Q87" s="31"/>
      <c r="R87" s="31"/>
      <c r="S87" s="31"/>
      <c r="T87" s="31"/>
      <c r="U87" s="31"/>
    </row>
    <row r="88" spans="1:21" ht="20.100000000000001" customHeight="1">
      <c r="A88" s="13"/>
      <c r="B88" s="13"/>
      <c r="C88" s="13"/>
      <c r="D88" s="13"/>
      <c r="E88" s="13"/>
      <c r="F88" s="13"/>
      <c r="G88" s="19"/>
      <c r="H88" s="19"/>
      <c r="I88" s="19"/>
      <c r="J88" s="19"/>
      <c r="K88" s="21" t="str">
        <f t="shared" si="2"/>
        <v/>
      </c>
      <c r="L88" s="13"/>
      <c r="M88" s="13"/>
      <c r="N88" s="13"/>
      <c r="O88" s="31"/>
      <c r="P88" s="31"/>
      <c r="Q88" s="31"/>
      <c r="R88" s="31"/>
      <c r="S88" s="31"/>
      <c r="T88" s="31"/>
      <c r="U88" s="31"/>
    </row>
    <row r="89" spans="1:21" ht="20.100000000000001" customHeight="1">
      <c r="A89" s="13"/>
      <c r="B89" s="13"/>
      <c r="C89" s="13"/>
      <c r="D89" s="13"/>
      <c r="E89" s="13"/>
      <c r="F89" s="13"/>
      <c r="G89" s="19"/>
      <c r="H89" s="19"/>
      <c r="I89" s="19"/>
      <c r="J89" s="19"/>
      <c r="K89" s="21" t="str">
        <f t="shared" si="2"/>
        <v/>
      </c>
      <c r="L89" s="13"/>
      <c r="M89" s="13"/>
      <c r="N89" s="13"/>
      <c r="O89" s="31"/>
      <c r="P89" s="31"/>
      <c r="Q89" s="31"/>
      <c r="R89" s="31"/>
      <c r="S89" s="31"/>
      <c r="T89" s="31"/>
      <c r="U89" s="31"/>
    </row>
    <row r="90" spans="1:21" ht="20.100000000000001" customHeight="1">
      <c r="A90" s="13"/>
      <c r="B90" s="13"/>
      <c r="C90" s="13"/>
      <c r="D90" s="13"/>
      <c r="E90" s="13"/>
      <c r="F90" s="13"/>
      <c r="G90" s="19"/>
      <c r="H90" s="19"/>
      <c r="I90" s="19"/>
      <c r="J90" s="19"/>
      <c r="K90" s="21" t="str">
        <f t="shared" si="2"/>
        <v/>
      </c>
      <c r="L90" s="13"/>
      <c r="M90" s="13"/>
      <c r="N90" s="13"/>
      <c r="O90" s="31"/>
      <c r="P90" s="31"/>
      <c r="Q90" s="31"/>
      <c r="R90" s="31"/>
      <c r="S90" s="31"/>
      <c r="T90" s="31"/>
      <c r="U90" s="31"/>
    </row>
    <row r="91" spans="1:21" ht="20.100000000000001" customHeight="1">
      <c r="A91" s="13"/>
      <c r="B91" s="13"/>
      <c r="C91" s="13"/>
      <c r="D91" s="13"/>
      <c r="E91" s="13"/>
      <c r="F91" s="13"/>
      <c r="G91" s="19"/>
      <c r="H91" s="19"/>
      <c r="I91" s="19"/>
      <c r="J91" s="19"/>
      <c r="K91" s="21" t="str">
        <f t="shared" si="2"/>
        <v/>
      </c>
      <c r="L91" s="13"/>
      <c r="M91" s="13"/>
      <c r="N91" s="13"/>
      <c r="O91" s="31"/>
      <c r="P91" s="31"/>
      <c r="Q91" s="31"/>
      <c r="R91" s="31"/>
      <c r="S91" s="31"/>
      <c r="T91" s="31"/>
      <c r="U91" s="31"/>
    </row>
    <row r="92" spans="1:21" ht="20.100000000000001" customHeight="1">
      <c r="A92" s="13"/>
      <c r="B92" s="13"/>
      <c r="C92" s="13"/>
      <c r="D92" s="13"/>
      <c r="E92" s="13"/>
      <c r="F92" s="13"/>
      <c r="G92" s="19"/>
      <c r="H92" s="19"/>
      <c r="I92" s="19"/>
      <c r="J92" s="19"/>
      <c r="K92" s="21" t="str">
        <f t="shared" si="2"/>
        <v/>
      </c>
      <c r="L92" s="13"/>
      <c r="M92" s="13"/>
      <c r="N92" s="13"/>
      <c r="O92" s="31"/>
      <c r="P92" s="31"/>
      <c r="Q92" s="31"/>
      <c r="R92" s="31"/>
      <c r="S92" s="31"/>
      <c r="T92" s="31"/>
      <c r="U92" s="31"/>
    </row>
    <row r="93" spans="1:21" ht="20.100000000000001" customHeight="1">
      <c r="A93" s="13"/>
      <c r="B93" s="13"/>
      <c r="C93" s="13"/>
      <c r="D93" s="13"/>
      <c r="E93" s="13"/>
      <c r="F93" s="13"/>
      <c r="G93" s="19"/>
      <c r="H93" s="19"/>
      <c r="I93" s="19"/>
      <c r="J93" s="19"/>
      <c r="K93" s="21" t="str">
        <f t="shared" si="2"/>
        <v/>
      </c>
      <c r="L93" s="13"/>
      <c r="M93" s="13"/>
      <c r="N93" s="13"/>
      <c r="O93" s="31"/>
      <c r="P93" s="31"/>
      <c r="Q93" s="31"/>
      <c r="R93" s="31"/>
      <c r="S93" s="31"/>
      <c r="T93" s="31"/>
      <c r="U93" s="31"/>
    </row>
    <row r="94" spans="1:21" ht="20.100000000000001" customHeight="1">
      <c r="A94" s="13"/>
      <c r="B94" s="13"/>
      <c r="C94" s="13"/>
      <c r="D94" s="13"/>
      <c r="E94" s="13"/>
      <c r="F94" s="13"/>
      <c r="G94" s="19"/>
      <c r="H94" s="19"/>
      <c r="I94" s="19"/>
      <c r="J94" s="19"/>
      <c r="K94" s="21" t="str">
        <f t="shared" si="2"/>
        <v/>
      </c>
      <c r="L94" s="13"/>
      <c r="M94" s="13"/>
      <c r="N94" s="13"/>
      <c r="O94" s="31"/>
      <c r="P94" s="31"/>
      <c r="Q94" s="31"/>
      <c r="R94" s="31"/>
      <c r="S94" s="31"/>
      <c r="T94" s="31"/>
      <c r="U94" s="31"/>
    </row>
    <row r="95" spans="1:21" ht="20.100000000000001" customHeight="1">
      <c r="A95" s="13"/>
      <c r="B95" s="13"/>
      <c r="C95" s="13"/>
      <c r="D95" s="13"/>
      <c r="E95" s="13"/>
      <c r="F95" s="13"/>
      <c r="G95" s="19"/>
      <c r="H95" s="19"/>
      <c r="I95" s="19"/>
      <c r="J95" s="19"/>
      <c r="K95" s="21" t="str">
        <f t="shared" si="2"/>
        <v/>
      </c>
      <c r="L95" s="13"/>
      <c r="M95" s="13"/>
      <c r="N95" s="13"/>
      <c r="O95" s="31"/>
      <c r="P95" s="31"/>
      <c r="Q95" s="31"/>
      <c r="R95" s="31"/>
      <c r="S95" s="31"/>
      <c r="T95" s="31"/>
      <c r="U95" s="31"/>
    </row>
    <row r="96" spans="1:21" ht="20.100000000000001" customHeight="1">
      <c r="A96" s="13"/>
      <c r="B96" s="13"/>
      <c r="C96" s="13"/>
      <c r="D96" s="13"/>
      <c r="E96" s="13"/>
      <c r="F96" s="13"/>
      <c r="G96" s="19"/>
      <c r="H96" s="19"/>
      <c r="I96" s="19"/>
      <c r="J96" s="19"/>
      <c r="K96" s="21" t="str">
        <f t="shared" si="2"/>
        <v/>
      </c>
      <c r="L96" s="13"/>
      <c r="M96" s="13"/>
      <c r="N96" s="13"/>
      <c r="O96" s="31"/>
      <c r="P96" s="31"/>
      <c r="Q96" s="31"/>
      <c r="R96" s="31"/>
      <c r="S96" s="31"/>
      <c r="T96" s="31"/>
      <c r="U96" s="31"/>
    </row>
    <row r="97" spans="1:21" ht="20.100000000000001" customHeight="1">
      <c r="A97" s="13"/>
      <c r="B97" s="13"/>
      <c r="C97" s="13"/>
      <c r="D97" s="13"/>
      <c r="E97" s="13"/>
      <c r="F97" s="13"/>
      <c r="G97" s="19"/>
      <c r="H97" s="19"/>
      <c r="I97" s="19"/>
      <c r="J97" s="19"/>
      <c r="K97" s="21" t="str">
        <f t="shared" si="2"/>
        <v/>
      </c>
      <c r="L97" s="13"/>
      <c r="M97" s="13"/>
      <c r="N97" s="13"/>
      <c r="O97" s="31"/>
      <c r="P97" s="31"/>
      <c r="Q97" s="31"/>
      <c r="R97" s="31"/>
      <c r="S97" s="31"/>
      <c r="T97" s="31"/>
      <c r="U97" s="31"/>
    </row>
    <row r="98" spans="1:21" ht="20.100000000000001" customHeight="1">
      <c r="A98" s="13"/>
      <c r="B98" s="13"/>
      <c r="C98" s="13"/>
      <c r="D98" s="13"/>
      <c r="E98" s="13"/>
      <c r="F98" s="13"/>
      <c r="G98" s="19"/>
      <c r="H98" s="19"/>
      <c r="I98" s="19"/>
      <c r="J98" s="19"/>
      <c r="K98" s="21" t="str">
        <f t="shared" si="2"/>
        <v/>
      </c>
      <c r="L98" s="13"/>
      <c r="M98" s="13"/>
      <c r="N98" s="13"/>
      <c r="O98" s="31"/>
      <c r="P98" s="31"/>
      <c r="Q98" s="31"/>
      <c r="R98" s="31"/>
      <c r="S98" s="31"/>
      <c r="T98" s="31"/>
      <c r="U98" s="31"/>
    </row>
    <row r="99" spans="1:21" ht="20.100000000000001" customHeight="1">
      <c r="A99" s="13"/>
      <c r="B99" s="13"/>
      <c r="C99" s="13"/>
      <c r="D99" s="13"/>
      <c r="E99" s="13"/>
      <c r="F99" s="13"/>
      <c r="G99" s="19"/>
      <c r="H99" s="19"/>
      <c r="I99" s="19"/>
      <c r="J99" s="19"/>
      <c r="K99" s="21" t="str">
        <f t="shared" si="2"/>
        <v/>
      </c>
      <c r="L99" s="13"/>
      <c r="M99" s="13"/>
      <c r="N99" s="13"/>
      <c r="O99" s="31"/>
      <c r="P99" s="31"/>
      <c r="Q99" s="31"/>
      <c r="R99" s="31"/>
      <c r="S99" s="31"/>
      <c r="T99" s="31"/>
      <c r="U99" s="31"/>
    </row>
    <row r="100" spans="1:21" ht="20.100000000000001" customHeight="1">
      <c r="A100" s="13"/>
      <c r="B100" s="13"/>
      <c r="C100" s="13"/>
      <c r="D100" s="13"/>
      <c r="E100" s="13"/>
      <c r="F100" s="13"/>
      <c r="G100" s="19"/>
      <c r="H100" s="19"/>
      <c r="I100" s="19"/>
      <c r="J100" s="19"/>
      <c r="K100" s="21" t="str">
        <f t="shared" si="2"/>
        <v/>
      </c>
      <c r="L100" s="13"/>
      <c r="M100" s="13"/>
      <c r="N100" s="13"/>
      <c r="O100" s="31"/>
      <c r="P100" s="31"/>
      <c r="Q100" s="31"/>
      <c r="R100" s="31"/>
      <c r="S100" s="31"/>
      <c r="T100" s="31"/>
      <c r="U100" s="31"/>
    </row>
    <row r="101" spans="1:21" ht="20.100000000000001" customHeight="1">
      <c r="A101" s="13"/>
      <c r="B101" s="13"/>
      <c r="C101" s="13"/>
      <c r="D101" s="13"/>
      <c r="E101" s="13"/>
      <c r="F101" s="13"/>
      <c r="G101" s="19"/>
      <c r="H101" s="19"/>
      <c r="I101" s="19"/>
      <c r="J101" s="19"/>
      <c r="K101" s="21" t="str">
        <f t="shared" si="2"/>
        <v/>
      </c>
      <c r="L101" s="13"/>
      <c r="M101" s="13"/>
      <c r="N101" s="13"/>
      <c r="O101" s="31"/>
      <c r="P101" s="31"/>
      <c r="Q101" s="31"/>
      <c r="R101" s="31"/>
      <c r="S101" s="31"/>
      <c r="T101" s="31"/>
      <c r="U101" s="31"/>
    </row>
    <row r="102" spans="1:21" ht="20.100000000000001" customHeight="1">
      <c r="A102" s="13"/>
      <c r="B102" s="13"/>
      <c r="C102" s="13"/>
      <c r="D102" s="13"/>
      <c r="E102" s="13"/>
      <c r="F102" s="13"/>
      <c r="G102" s="19"/>
      <c r="H102" s="19"/>
      <c r="I102" s="19"/>
      <c r="J102" s="19"/>
      <c r="K102" s="21" t="str">
        <f t="shared" ref="K102:K133" si="3">IF(A102="","",IF(OR(G102="",H102="",H102=0),"",G102/H102))</f>
        <v/>
      </c>
      <c r="L102" s="13"/>
      <c r="M102" s="13"/>
      <c r="N102" s="13"/>
      <c r="O102" s="31"/>
      <c r="P102" s="31"/>
      <c r="Q102" s="31"/>
      <c r="R102" s="31"/>
      <c r="S102" s="31"/>
      <c r="T102" s="31"/>
      <c r="U102" s="31"/>
    </row>
    <row r="103" spans="1:21" ht="20.100000000000001" customHeight="1">
      <c r="A103" s="13"/>
      <c r="B103" s="13"/>
      <c r="C103" s="13"/>
      <c r="D103" s="13"/>
      <c r="E103" s="13"/>
      <c r="F103" s="13"/>
      <c r="G103" s="19"/>
      <c r="H103" s="19"/>
      <c r="I103" s="19"/>
      <c r="J103" s="19"/>
      <c r="K103" s="21" t="str">
        <f t="shared" si="3"/>
        <v/>
      </c>
      <c r="L103" s="13"/>
      <c r="M103" s="13"/>
      <c r="N103" s="13"/>
      <c r="O103" s="31"/>
      <c r="P103" s="31"/>
      <c r="Q103" s="31"/>
      <c r="R103" s="31"/>
      <c r="S103" s="31"/>
      <c r="T103" s="31"/>
      <c r="U103" s="31"/>
    </row>
    <row r="104" spans="1:21" ht="20.100000000000001" customHeight="1">
      <c r="A104" s="13"/>
      <c r="B104" s="13"/>
      <c r="C104" s="13"/>
      <c r="D104" s="13"/>
      <c r="E104" s="13"/>
      <c r="F104" s="13"/>
      <c r="G104" s="19"/>
      <c r="H104" s="19"/>
      <c r="I104" s="19"/>
      <c r="J104" s="19"/>
      <c r="K104" s="21" t="str">
        <f t="shared" si="3"/>
        <v/>
      </c>
      <c r="L104" s="13"/>
      <c r="M104" s="13"/>
      <c r="N104" s="13"/>
      <c r="O104" s="31"/>
      <c r="P104" s="31"/>
      <c r="Q104" s="31"/>
      <c r="R104" s="31"/>
      <c r="S104" s="31"/>
      <c r="T104" s="31"/>
      <c r="U104" s="31"/>
    </row>
    <row r="105" spans="1:21" ht="20.100000000000001" customHeight="1">
      <c r="A105" s="13"/>
      <c r="B105" s="13"/>
      <c r="C105" s="13"/>
      <c r="D105" s="13"/>
      <c r="E105" s="13"/>
      <c r="F105" s="13"/>
      <c r="G105" s="19"/>
      <c r="H105" s="19"/>
      <c r="I105" s="19"/>
      <c r="J105" s="19"/>
      <c r="K105" s="21" t="str">
        <f t="shared" si="3"/>
        <v/>
      </c>
      <c r="L105" s="13"/>
      <c r="M105" s="13"/>
      <c r="N105" s="13"/>
      <c r="O105" s="31"/>
      <c r="P105" s="31"/>
      <c r="Q105" s="31"/>
      <c r="R105" s="31"/>
      <c r="S105" s="31"/>
      <c r="T105" s="31"/>
      <c r="U105" s="31"/>
    </row>
    <row r="106" spans="1:21" ht="20.100000000000001" customHeight="1">
      <c r="A106" s="13"/>
      <c r="B106" s="13"/>
      <c r="C106" s="13"/>
      <c r="D106" s="13"/>
      <c r="E106" s="13"/>
      <c r="F106" s="13"/>
      <c r="G106" s="19"/>
      <c r="H106" s="19"/>
      <c r="I106" s="19"/>
      <c r="J106" s="19"/>
      <c r="K106" s="21" t="str">
        <f t="shared" si="3"/>
        <v/>
      </c>
      <c r="L106" s="13"/>
      <c r="M106" s="13"/>
      <c r="N106" s="13"/>
      <c r="O106" s="31"/>
      <c r="P106" s="31"/>
      <c r="Q106" s="31"/>
      <c r="R106" s="31"/>
      <c r="S106" s="31"/>
      <c r="T106" s="31"/>
      <c r="U106" s="31"/>
    </row>
    <row r="107" spans="1:21" ht="20.100000000000001" customHeight="1">
      <c r="A107" s="13"/>
      <c r="B107" s="13"/>
      <c r="C107" s="13"/>
      <c r="D107" s="13"/>
      <c r="E107" s="13"/>
      <c r="F107" s="13"/>
      <c r="G107" s="19"/>
      <c r="H107" s="19"/>
      <c r="I107" s="19"/>
      <c r="J107" s="19"/>
      <c r="K107" s="21" t="str">
        <f t="shared" si="3"/>
        <v/>
      </c>
      <c r="L107" s="13"/>
      <c r="M107" s="13"/>
      <c r="N107" s="13"/>
      <c r="O107" s="31"/>
      <c r="P107" s="31"/>
      <c r="Q107" s="31"/>
      <c r="R107" s="31"/>
      <c r="S107" s="31"/>
      <c r="T107" s="31"/>
      <c r="U107" s="31"/>
    </row>
    <row r="108" spans="1:21" ht="20.100000000000001" customHeight="1">
      <c r="A108" s="13"/>
      <c r="B108" s="13"/>
      <c r="C108" s="13"/>
      <c r="D108" s="13"/>
      <c r="E108" s="13"/>
      <c r="F108" s="13"/>
      <c r="G108" s="19"/>
      <c r="H108" s="19"/>
      <c r="I108" s="19"/>
      <c r="J108" s="19"/>
      <c r="K108" s="21" t="str">
        <f t="shared" si="3"/>
        <v/>
      </c>
      <c r="L108" s="13"/>
      <c r="M108" s="13"/>
      <c r="N108" s="13"/>
      <c r="O108" s="31"/>
      <c r="P108" s="31"/>
      <c r="Q108" s="31"/>
      <c r="R108" s="31"/>
      <c r="S108" s="31"/>
      <c r="T108" s="31"/>
      <c r="U108" s="31"/>
    </row>
    <row r="109" spans="1:21" ht="20.100000000000001" customHeight="1">
      <c r="A109" s="13"/>
      <c r="B109" s="13"/>
      <c r="C109" s="13"/>
      <c r="D109" s="13"/>
      <c r="E109" s="13"/>
      <c r="F109" s="13"/>
      <c r="G109" s="19"/>
      <c r="H109" s="19"/>
      <c r="I109" s="19"/>
      <c r="J109" s="19"/>
      <c r="K109" s="21" t="str">
        <f t="shared" si="3"/>
        <v/>
      </c>
      <c r="L109" s="13"/>
      <c r="M109" s="13"/>
      <c r="N109" s="13"/>
      <c r="O109" s="31"/>
      <c r="P109" s="31"/>
      <c r="Q109" s="31"/>
      <c r="R109" s="31"/>
      <c r="S109" s="31"/>
      <c r="T109" s="31"/>
      <c r="U109" s="31"/>
    </row>
    <row r="110" spans="1:21" ht="20.100000000000001" customHeight="1">
      <c r="A110" s="13"/>
      <c r="B110" s="13"/>
      <c r="C110" s="13"/>
      <c r="D110" s="13"/>
      <c r="E110" s="13"/>
      <c r="F110" s="13"/>
      <c r="G110" s="19"/>
      <c r="H110" s="19"/>
      <c r="I110" s="19"/>
      <c r="J110" s="19"/>
      <c r="K110" s="21" t="str">
        <f t="shared" si="3"/>
        <v/>
      </c>
      <c r="L110" s="13"/>
      <c r="M110" s="13"/>
      <c r="N110" s="13"/>
      <c r="O110" s="31"/>
      <c r="P110" s="31"/>
      <c r="Q110" s="31"/>
      <c r="R110" s="31"/>
      <c r="S110" s="31"/>
      <c r="T110" s="31"/>
      <c r="U110" s="31"/>
    </row>
    <row r="111" spans="1:21" ht="20.100000000000001" customHeight="1">
      <c r="A111" s="13"/>
      <c r="B111" s="13"/>
      <c r="C111" s="13"/>
      <c r="D111" s="13"/>
      <c r="E111" s="13"/>
      <c r="F111" s="13"/>
      <c r="G111" s="19"/>
      <c r="H111" s="19"/>
      <c r="I111" s="19"/>
      <c r="J111" s="19"/>
      <c r="K111" s="21" t="str">
        <f t="shared" si="3"/>
        <v/>
      </c>
      <c r="L111" s="13"/>
      <c r="M111" s="13"/>
      <c r="N111" s="13"/>
      <c r="O111" s="31"/>
      <c r="P111" s="31"/>
      <c r="Q111" s="31"/>
      <c r="R111" s="31"/>
      <c r="S111" s="31"/>
      <c r="T111" s="31"/>
      <c r="U111" s="31"/>
    </row>
    <row r="112" spans="1:21" ht="20.100000000000001" customHeight="1">
      <c r="A112" s="13"/>
      <c r="B112" s="13"/>
      <c r="C112" s="13"/>
      <c r="D112" s="13"/>
      <c r="E112" s="13"/>
      <c r="F112" s="13"/>
      <c r="G112" s="19"/>
      <c r="H112" s="19"/>
      <c r="I112" s="19"/>
      <c r="J112" s="19"/>
      <c r="K112" s="21" t="str">
        <f t="shared" si="3"/>
        <v/>
      </c>
      <c r="L112" s="13"/>
      <c r="M112" s="13"/>
      <c r="N112" s="13"/>
      <c r="O112" s="31"/>
      <c r="P112" s="31"/>
      <c r="Q112" s="31"/>
      <c r="R112" s="31"/>
      <c r="S112" s="31"/>
      <c r="T112" s="31"/>
      <c r="U112" s="31"/>
    </row>
    <row r="113" spans="1:21" ht="20.100000000000001" customHeight="1">
      <c r="A113" s="13"/>
      <c r="B113" s="13"/>
      <c r="C113" s="13"/>
      <c r="D113" s="13"/>
      <c r="E113" s="13"/>
      <c r="F113" s="13"/>
      <c r="G113" s="19"/>
      <c r="H113" s="19"/>
      <c r="I113" s="19"/>
      <c r="J113" s="19"/>
      <c r="K113" s="21" t="str">
        <f t="shared" si="3"/>
        <v/>
      </c>
      <c r="L113" s="13"/>
      <c r="M113" s="13"/>
      <c r="N113" s="13"/>
      <c r="O113" s="31"/>
      <c r="P113" s="31"/>
      <c r="Q113" s="31"/>
      <c r="R113" s="31"/>
      <c r="S113" s="31"/>
      <c r="T113" s="31"/>
      <c r="U113" s="31"/>
    </row>
    <row r="114" spans="1:21" ht="20.100000000000001" customHeight="1">
      <c r="A114" s="13"/>
      <c r="B114" s="13"/>
      <c r="C114" s="13"/>
      <c r="D114" s="13"/>
      <c r="E114" s="13"/>
      <c r="F114" s="13"/>
      <c r="G114" s="19"/>
      <c r="H114" s="19"/>
      <c r="I114" s="19"/>
      <c r="J114" s="19"/>
      <c r="K114" s="21" t="str">
        <f t="shared" si="3"/>
        <v/>
      </c>
      <c r="L114" s="13"/>
      <c r="M114" s="13"/>
      <c r="N114" s="13"/>
      <c r="O114" s="31"/>
      <c r="P114" s="31"/>
      <c r="Q114" s="31"/>
      <c r="R114" s="31"/>
      <c r="S114" s="31"/>
      <c r="T114" s="31"/>
      <c r="U114" s="31"/>
    </row>
    <row r="115" spans="1:21" ht="20.100000000000001" customHeight="1">
      <c r="A115" s="13"/>
      <c r="B115" s="13"/>
      <c r="C115" s="13"/>
      <c r="D115" s="13"/>
      <c r="E115" s="13"/>
      <c r="F115" s="13"/>
      <c r="G115" s="19"/>
      <c r="H115" s="19"/>
      <c r="I115" s="19"/>
      <c r="J115" s="19"/>
      <c r="K115" s="21" t="str">
        <f t="shared" si="3"/>
        <v/>
      </c>
      <c r="L115" s="13"/>
      <c r="M115" s="13"/>
      <c r="N115" s="13"/>
      <c r="O115" s="31"/>
      <c r="P115" s="31"/>
      <c r="Q115" s="31"/>
      <c r="R115" s="31"/>
      <c r="S115" s="31"/>
      <c r="T115" s="31"/>
      <c r="U115" s="31"/>
    </row>
    <row r="116" spans="1:21" ht="20.100000000000001" customHeight="1">
      <c r="A116" s="13"/>
      <c r="B116" s="13"/>
      <c r="C116" s="13"/>
      <c r="D116" s="13"/>
      <c r="E116" s="13"/>
      <c r="F116" s="13"/>
      <c r="G116" s="19"/>
      <c r="H116" s="19"/>
      <c r="I116" s="19"/>
      <c r="J116" s="19"/>
      <c r="K116" s="21" t="str">
        <f t="shared" si="3"/>
        <v/>
      </c>
      <c r="L116" s="13"/>
      <c r="M116" s="13"/>
      <c r="N116" s="13"/>
      <c r="O116" s="31"/>
      <c r="P116" s="31"/>
      <c r="Q116" s="31"/>
      <c r="R116" s="31"/>
      <c r="S116" s="31"/>
      <c r="T116" s="31"/>
      <c r="U116" s="31"/>
    </row>
    <row r="117" spans="1:21" ht="20.100000000000001" customHeight="1">
      <c r="A117" s="13"/>
      <c r="B117" s="13"/>
      <c r="C117" s="13"/>
      <c r="D117" s="13"/>
      <c r="E117" s="13"/>
      <c r="F117" s="13"/>
      <c r="G117" s="19"/>
      <c r="H117" s="19"/>
      <c r="I117" s="19"/>
      <c r="J117" s="19"/>
      <c r="K117" s="21" t="str">
        <f t="shared" si="3"/>
        <v/>
      </c>
      <c r="L117" s="13"/>
      <c r="M117" s="13"/>
      <c r="N117" s="13"/>
      <c r="O117" s="31"/>
      <c r="P117" s="31"/>
      <c r="Q117" s="31"/>
      <c r="R117" s="31"/>
      <c r="S117" s="31"/>
      <c r="T117" s="31"/>
      <c r="U117" s="31"/>
    </row>
    <row r="118" spans="1:21" ht="20.100000000000001" customHeight="1">
      <c r="A118" s="13"/>
      <c r="B118" s="13"/>
      <c r="C118" s="13"/>
      <c r="D118" s="13"/>
      <c r="E118" s="13"/>
      <c r="F118" s="13"/>
      <c r="G118" s="19"/>
      <c r="H118" s="19"/>
      <c r="I118" s="19"/>
      <c r="J118" s="19"/>
      <c r="K118" s="21" t="str">
        <f t="shared" si="3"/>
        <v/>
      </c>
      <c r="L118" s="13"/>
      <c r="M118" s="13"/>
      <c r="N118" s="13"/>
      <c r="O118" s="31"/>
      <c r="P118" s="31"/>
      <c r="Q118" s="31"/>
      <c r="R118" s="31"/>
      <c r="S118" s="31"/>
      <c r="T118" s="31"/>
      <c r="U118" s="31"/>
    </row>
    <row r="119" spans="1:21" ht="20.100000000000001" customHeight="1">
      <c r="A119" s="13"/>
      <c r="B119" s="13"/>
      <c r="C119" s="13"/>
      <c r="D119" s="13"/>
      <c r="E119" s="13"/>
      <c r="F119" s="13"/>
      <c r="G119" s="19"/>
      <c r="H119" s="19"/>
      <c r="I119" s="19"/>
      <c r="J119" s="19"/>
      <c r="K119" s="21" t="str">
        <f t="shared" si="3"/>
        <v/>
      </c>
      <c r="L119" s="13"/>
      <c r="M119" s="13"/>
      <c r="N119" s="13"/>
      <c r="O119" s="31"/>
      <c r="P119" s="31"/>
      <c r="Q119" s="31"/>
      <c r="R119" s="31"/>
      <c r="S119" s="31"/>
      <c r="T119" s="31"/>
      <c r="U119" s="31"/>
    </row>
    <row r="120" spans="1:21" ht="20.100000000000001" customHeight="1">
      <c r="A120" s="13"/>
      <c r="B120" s="13"/>
      <c r="C120" s="13"/>
      <c r="D120" s="13"/>
      <c r="E120" s="13"/>
      <c r="F120" s="13"/>
      <c r="G120" s="19"/>
      <c r="H120" s="19"/>
      <c r="I120" s="19"/>
      <c r="J120" s="19"/>
      <c r="K120" s="21" t="str">
        <f t="shared" si="3"/>
        <v/>
      </c>
      <c r="L120" s="13"/>
      <c r="M120" s="13"/>
      <c r="N120" s="13"/>
      <c r="O120" s="31"/>
      <c r="P120" s="31"/>
      <c r="Q120" s="31"/>
      <c r="R120" s="31"/>
      <c r="S120" s="31"/>
      <c r="T120" s="31"/>
      <c r="U120" s="31"/>
    </row>
    <row r="121" spans="1:21" ht="20.100000000000001" customHeight="1">
      <c r="A121" s="13"/>
      <c r="B121" s="13"/>
      <c r="C121" s="13"/>
      <c r="D121" s="13"/>
      <c r="E121" s="13"/>
      <c r="F121" s="13"/>
      <c r="G121" s="19"/>
      <c r="H121" s="19"/>
      <c r="I121" s="19"/>
      <c r="J121" s="19"/>
      <c r="K121" s="21" t="str">
        <f t="shared" si="3"/>
        <v/>
      </c>
      <c r="L121" s="13"/>
      <c r="M121" s="13"/>
      <c r="N121" s="13"/>
      <c r="O121" s="31"/>
      <c r="P121" s="31"/>
      <c r="Q121" s="31"/>
      <c r="R121" s="31"/>
      <c r="S121" s="31"/>
      <c r="T121" s="31"/>
      <c r="U121" s="31"/>
    </row>
    <row r="122" spans="1:21" ht="20.100000000000001" customHeight="1">
      <c r="A122" s="13"/>
      <c r="B122" s="13"/>
      <c r="C122" s="13"/>
      <c r="D122" s="13"/>
      <c r="E122" s="13"/>
      <c r="F122" s="13"/>
      <c r="G122" s="19"/>
      <c r="H122" s="19"/>
      <c r="I122" s="19"/>
      <c r="J122" s="19"/>
      <c r="K122" s="21" t="str">
        <f t="shared" si="3"/>
        <v/>
      </c>
      <c r="L122" s="13"/>
      <c r="M122" s="13"/>
      <c r="N122" s="13"/>
      <c r="O122" s="31"/>
      <c r="P122" s="31"/>
      <c r="Q122" s="31"/>
      <c r="R122" s="31"/>
      <c r="S122" s="31"/>
      <c r="T122" s="31"/>
      <c r="U122" s="31"/>
    </row>
    <row r="123" spans="1:21" ht="20.100000000000001" customHeight="1">
      <c r="A123" s="13"/>
      <c r="B123" s="13"/>
      <c r="C123" s="13"/>
      <c r="D123" s="13"/>
      <c r="E123" s="13"/>
      <c r="F123" s="13"/>
      <c r="G123" s="19"/>
      <c r="H123" s="19"/>
      <c r="I123" s="19"/>
      <c r="J123" s="19"/>
      <c r="K123" s="21" t="str">
        <f t="shared" si="3"/>
        <v/>
      </c>
      <c r="L123" s="13"/>
      <c r="M123" s="13"/>
      <c r="N123" s="13"/>
      <c r="O123" s="31"/>
      <c r="P123" s="31"/>
      <c r="Q123" s="31"/>
      <c r="R123" s="31"/>
      <c r="S123" s="31"/>
      <c r="T123" s="31"/>
      <c r="U123" s="31"/>
    </row>
    <row r="124" spans="1:21" ht="20.100000000000001" customHeight="1">
      <c r="A124" s="13"/>
      <c r="B124" s="13"/>
      <c r="C124" s="13"/>
      <c r="D124" s="13"/>
      <c r="E124" s="13"/>
      <c r="F124" s="13"/>
      <c r="G124" s="19"/>
      <c r="H124" s="19"/>
      <c r="I124" s="19"/>
      <c r="J124" s="19"/>
      <c r="K124" s="21" t="str">
        <f t="shared" si="3"/>
        <v/>
      </c>
      <c r="L124" s="13"/>
      <c r="M124" s="13"/>
      <c r="N124" s="13"/>
      <c r="O124" s="31"/>
      <c r="P124" s="31"/>
      <c r="Q124" s="31"/>
      <c r="R124" s="31"/>
      <c r="S124" s="31"/>
      <c r="T124" s="31"/>
      <c r="U124" s="31"/>
    </row>
    <row r="125" spans="1:21" ht="20.100000000000001" customHeight="1">
      <c r="A125" s="13"/>
      <c r="B125" s="13"/>
      <c r="C125" s="13"/>
      <c r="D125" s="13"/>
      <c r="E125" s="13"/>
      <c r="F125" s="13"/>
      <c r="G125" s="19"/>
      <c r="H125" s="19"/>
      <c r="I125" s="19"/>
      <c r="J125" s="19"/>
      <c r="K125" s="21" t="str">
        <f t="shared" si="3"/>
        <v/>
      </c>
      <c r="L125" s="13"/>
      <c r="M125" s="13"/>
      <c r="N125" s="13"/>
      <c r="O125" s="31"/>
      <c r="P125" s="31"/>
      <c r="Q125" s="31"/>
      <c r="R125" s="31"/>
      <c r="S125" s="31"/>
      <c r="T125" s="31"/>
      <c r="U125" s="31"/>
    </row>
    <row r="126" spans="1:21" ht="20.100000000000001" customHeight="1">
      <c r="A126" s="13"/>
      <c r="B126" s="13"/>
      <c r="C126" s="13"/>
      <c r="D126" s="13"/>
      <c r="E126" s="13"/>
      <c r="F126" s="13"/>
      <c r="G126" s="19"/>
      <c r="H126" s="19"/>
      <c r="I126" s="19"/>
      <c r="J126" s="19"/>
      <c r="K126" s="21" t="str">
        <f t="shared" si="3"/>
        <v/>
      </c>
      <c r="L126" s="13"/>
      <c r="M126" s="13"/>
      <c r="N126" s="13"/>
      <c r="O126" s="31"/>
      <c r="P126" s="31"/>
      <c r="Q126" s="31"/>
      <c r="R126" s="31"/>
      <c r="S126" s="31"/>
      <c r="T126" s="31"/>
      <c r="U126" s="31"/>
    </row>
    <row r="127" spans="1:21" ht="20.100000000000001" customHeight="1">
      <c r="A127" s="13"/>
      <c r="B127" s="13"/>
      <c r="C127" s="13"/>
      <c r="D127" s="13"/>
      <c r="E127" s="13"/>
      <c r="F127" s="13"/>
      <c r="G127" s="19"/>
      <c r="H127" s="19"/>
      <c r="I127" s="19"/>
      <c r="J127" s="19"/>
      <c r="K127" s="21" t="str">
        <f t="shared" si="3"/>
        <v/>
      </c>
      <c r="L127" s="13"/>
      <c r="M127" s="13"/>
      <c r="N127" s="13"/>
      <c r="O127" s="31"/>
      <c r="P127" s="31"/>
      <c r="Q127" s="31"/>
      <c r="R127" s="31"/>
      <c r="S127" s="31"/>
      <c r="T127" s="31"/>
      <c r="U127" s="31"/>
    </row>
    <row r="128" spans="1:21" ht="20.100000000000001" customHeight="1">
      <c r="A128" s="13"/>
      <c r="B128" s="13"/>
      <c r="C128" s="13"/>
      <c r="D128" s="13"/>
      <c r="E128" s="13"/>
      <c r="F128" s="13"/>
      <c r="G128" s="19"/>
      <c r="H128" s="19"/>
      <c r="I128" s="19"/>
      <c r="J128" s="19"/>
      <c r="K128" s="21" t="str">
        <f t="shared" si="3"/>
        <v/>
      </c>
      <c r="L128" s="13"/>
      <c r="M128" s="13"/>
      <c r="N128" s="13"/>
      <c r="O128" s="31"/>
      <c r="P128" s="31"/>
      <c r="Q128" s="31"/>
      <c r="R128" s="31"/>
      <c r="S128" s="31"/>
      <c r="T128" s="31"/>
      <c r="U128" s="31"/>
    </row>
    <row r="129" spans="1:21" ht="20.100000000000001" customHeight="1">
      <c r="A129" s="13"/>
      <c r="B129" s="13"/>
      <c r="C129" s="13"/>
      <c r="D129" s="13"/>
      <c r="E129" s="13"/>
      <c r="F129" s="13"/>
      <c r="G129" s="19"/>
      <c r="H129" s="19"/>
      <c r="I129" s="19"/>
      <c r="J129" s="19"/>
      <c r="K129" s="21" t="str">
        <f t="shared" si="3"/>
        <v/>
      </c>
      <c r="L129" s="13"/>
      <c r="M129" s="13"/>
      <c r="N129" s="13"/>
      <c r="O129" s="31"/>
      <c r="P129" s="31"/>
      <c r="Q129" s="31"/>
      <c r="R129" s="31"/>
      <c r="S129" s="31"/>
      <c r="T129" s="31"/>
      <c r="U129" s="31"/>
    </row>
    <row r="130" spans="1:21" ht="20.100000000000001" customHeight="1">
      <c r="A130" s="13"/>
      <c r="B130" s="13"/>
      <c r="C130" s="13"/>
      <c r="D130" s="13"/>
      <c r="E130" s="13"/>
      <c r="F130" s="13"/>
      <c r="G130" s="19"/>
      <c r="H130" s="19"/>
      <c r="I130" s="19"/>
      <c r="J130" s="19"/>
      <c r="K130" s="21" t="str">
        <f t="shared" si="3"/>
        <v/>
      </c>
      <c r="L130" s="13"/>
      <c r="M130" s="13"/>
      <c r="N130" s="13"/>
      <c r="O130" s="31"/>
      <c r="P130" s="31"/>
      <c r="Q130" s="31"/>
      <c r="R130" s="31"/>
      <c r="S130" s="31"/>
      <c r="T130" s="31"/>
      <c r="U130" s="31"/>
    </row>
    <row r="131" spans="1:21" ht="20.100000000000001" customHeight="1">
      <c r="A131" s="13"/>
      <c r="B131" s="13"/>
      <c r="C131" s="13"/>
      <c r="D131" s="13"/>
      <c r="E131" s="13"/>
      <c r="F131" s="13"/>
      <c r="G131" s="19"/>
      <c r="H131" s="19"/>
      <c r="I131" s="19"/>
      <c r="J131" s="19"/>
      <c r="K131" s="21" t="str">
        <f t="shared" si="3"/>
        <v/>
      </c>
      <c r="L131" s="13"/>
      <c r="M131" s="13"/>
      <c r="N131" s="13"/>
      <c r="O131" s="31"/>
      <c r="P131" s="31"/>
      <c r="Q131" s="31"/>
      <c r="R131" s="31"/>
      <c r="S131" s="31"/>
      <c r="T131" s="31"/>
      <c r="U131" s="31"/>
    </row>
    <row r="132" spans="1:21" ht="20.100000000000001" customHeight="1">
      <c r="A132" s="13"/>
      <c r="B132" s="13"/>
      <c r="C132" s="13"/>
      <c r="D132" s="13"/>
      <c r="E132" s="13"/>
      <c r="F132" s="13"/>
      <c r="G132" s="19"/>
      <c r="H132" s="19"/>
      <c r="I132" s="19"/>
      <c r="J132" s="19"/>
      <c r="K132" s="21" t="str">
        <f t="shared" si="3"/>
        <v/>
      </c>
      <c r="L132" s="13"/>
      <c r="M132" s="13"/>
      <c r="N132" s="13"/>
      <c r="O132" s="31"/>
      <c r="P132" s="31"/>
      <c r="Q132" s="31"/>
      <c r="R132" s="31"/>
      <c r="S132" s="31"/>
      <c r="T132" s="31"/>
      <c r="U132" s="31"/>
    </row>
    <row r="133" spans="1:21" ht="20.100000000000001" customHeight="1">
      <c r="A133" s="13"/>
      <c r="B133" s="13"/>
      <c r="C133" s="13"/>
      <c r="D133" s="13"/>
      <c r="E133" s="13"/>
      <c r="F133" s="13"/>
      <c r="G133" s="19"/>
      <c r="H133" s="19"/>
      <c r="I133" s="19"/>
      <c r="J133" s="19"/>
      <c r="K133" s="21" t="str">
        <f t="shared" si="3"/>
        <v/>
      </c>
      <c r="L133" s="13"/>
      <c r="M133" s="13"/>
      <c r="N133" s="13"/>
      <c r="O133" s="31"/>
      <c r="P133" s="31"/>
      <c r="Q133" s="31"/>
      <c r="R133" s="31"/>
      <c r="S133" s="31"/>
      <c r="T133" s="31"/>
      <c r="U133" s="31"/>
    </row>
    <row r="134" spans="1:21" ht="20.100000000000001" customHeight="1">
      <c r="A134" s="13"/>
      <c r="B134" s="13"/>
      <c r="C134" s="13"/>
      <c r="D134" s="13"/>
      <c r="E134" s="13"/>
      <c r="F134" s="13"/>
      <c r="G134" s="19"/>
      <c r="H134" s="19"/>
      <c r="I134" s="19"/>
      <c r="J134" s="19"/>
      <c r="K134" s="21" t="str">
        <f t="shared" ref="K134:K165" si="4">IF(A134="","",IF(OR(G134="",H134="",H134=0),"",G134/H134))</f>
        <v/>
      </c>
      <c r="L134" s="13"/>
      <c r="M134" s="13"/>
      <c r="N134" s="13"/>
      <c r="O134" s="31"/>
      <c r="P134" s="31"/>
      <c r="Q134" s="31"/>
      <c r="R134" s="31"/>
      <c r="S134" s="31"/>
      <c r="T134" s="31"/>
      <c r="U134" s="31"/>
    </row>
    <row r="135" spans="1:21" ht="20.100000000000001" customHeight="1">
      <c r="A135" s="13"/>
      <c r="B135" s="13"/>
      <c r="C135" s="13"/>
      <c r="D135" s="13"/>
      <c r="E135" s="13"/>
      <c r="F135" s="13"/>
      <c r="G135" s="19"/>
      <c r="H135" s="19"/>
      <c r="I135" s="19"/>
      <c r="J135" s="19"/>
      <c r="K135" s="21" t="str">
        <f t="shared" si="4"/>
        <v/>
      </c>
      <c r="L135" s="13"/>
      <c r="M135" s="13"/>
      <c r="N135" s="13"/>
      <c r="O135" s="31"/>
      <c r="P135" s="31"/>
      <c r="Q135" s="31"/>
      <c r="R135" s="31"/>
      <c r="S135" s="31"/>
      <c r="T135" s="31"/>
      <c r="U135" s="31"/>
    </row>
    <row r="136" spans="1:21" ht="20.100000000000001" customHeight="1">
      <c r="A136" s="13"/>
      <c r="B136" s="13"/>
      <c r="C136" s="13"/>
      <c r="D136" s="13"/>
      <c r="E136" s="13"/>
      <c r="F136" s="13"/>
      <c r="G136" s="19"/>
      <c r="H136" s="19"/>
      <c r="I136" s="19"/>
      <c r="J136" s="19"/>
      <c r="K136" s="21" t="str">
        <f t="shared" si="4"/>
        <v/>
      </c>
      <c r="L136" s="13"/>
      <c r="M136" s="13"/>
      <c r="N136" s="13"/>
      <c r="O136" s="31"/>
      <c r="P136" s="31"/>
      <c r="Q136" s="31"/>
      <c r="R136" s="31"/>
      <c r="S136" s="31"/>
      <c r="T136" s="31"/>
      <c r="U136" s="31"/>
    </row>
    <row r="137" spans="1:21" ht="20.100000000000001" customHeight="1">
      <c r="A137" s="13"/>
      <c r="B137" s="13"/>
      <c r="C137" s="13"/>
      <c r="D137" s="13"/>
      <c r="E137" s="13"/>
      <c r="F137" s="13"/>
      <c r="G137" s="19"/>
      <c r="H137" s="19"/>
      <c r="I137" s="19"/>
      <c r="J137" s="19"/>
      <c r="K137" s="21" t="str">
        <f t="shared" si="4"/>
        <v/>
      </c>
      <c r="L137" s="13"/>
      <c r="M137" s="13"/>
      <c r="N137" s="13"/>
      <c r="O137" s="31"/>
      <c r="P137" s="31"/>
      <c r="Q137" s="31"/>
      <c r="R137" s="31"/>
      <c r="S137" s="31"/>
      <c r="T137" s="31"/>
      <c r="U137" s="31"/>
    </row>
    <row r="138" spans="1:21" ht="20.100000000000001" customHeight="1">
      <c r="A138" s="13"/>
      <c r="B138" s="13"/>
      <c r="C138" s="13"/>
      <c r="D138" s="13"/>
      <c r="E138" s="13"/>
      <c r="F138" s="13"/>
      <c r="G138" s="19"/>
      <c r="H138" s="19"/>
      <c r="I138" s="19"/>
      <c r="J138" s="19"/>
      <c r="K138" s="21" t="str">
        <f t="shared" si="4"/>
        <v/>
      </c>
      <c r="L138" s="13"/>
      <c r="M138" s="13"/>
      <c r="N138" s="13"/>
      <c r="O138" s="31"/>
      <c r="P138" s="31"/>
      <c r="Q138" s="31"/>
      <c r="R138" s="31"/>
      <c r="S138" s="31"/>
      <c r="T138" s="31"/>
      <c r="U138" s="31"/>
    </row>
    <row r="139" spans="1:21" ht="20.100000000000001" customHeight="1">
      <c r="A139" s="13"/>
      <c r="B139" s="13"/>
      <c r="C139" s="13"/>
      <c r="D139" s="13"/>
      <c r="E139" s="13"/>
      <c r="F139" s="13"/>
      <c r="G139" s="19"/>
      <c r="H139" s="19"/>
      <c r="I139" s="19"/>
      <c r="J139" s="19"/>
      <c r="K139" s="21" t="str">
        <f t="shared" si="4"/>
        <v/>
      </c>
      <c r="L139" s="13"/>
      <c r="M139" s="13"/>
      <c r="N139" s="13"/>
      <c r="O139" s="31"/>
      <c r="P139" s="31"/>
      <c r="Q139" s="31"/>
      <c r="R139" s="31"/>
      <c r="S139" s="31"/>
      <c r="T139" s="31"/>
      <c r="U139" s="31"/>
    </row>
    <row r="140" spans="1:21" ht="20.100000000000001" customHeight="1">
      <c r="A140" s="13"/>
      <c r="B140" s="13"/>
      <c r="C140" s="13"/>
      <c r="D140" s="13"/>
      <c r="E140" s="13"/>
      <c r="F140" s="13"/>
      <c r="G140" s="19"/>
      <c r="H140" s="19"/>
      <c r="I140" s="19"/>
      <c r="J140" s="19"/>
      <c r="K140" s="21" t="str">
        <f t="shared" si="4"/>
        <v/>
      </c>
      <c r="L140" s="13"/>
      <c r="M140" s="13"/>
      <c r="N140" s="13"/>
      <c r="O140" s="31"/>
      <c r="P140" s="31"/>
      <c r="Q140" s="31"/>
      <c r="R140" s="31"/>
      <c r="S140" s="31"/>
      <c r="T140" s="31"/>
      <c r="U140" s="31"/>
    </row>
    <row r="141" spans="1:21" ht="20.100000000000001" customHeight="1">
      <c r="A141" s="13"/>
      <c r="B141" s="13"/>
      <c r="C141" s="13"/>
      <c r="D141" s="13"/>
      <c r="E141" s="13"/>
      <c r="F141" s="13"/>
      <c r="G141" s="19"/>
      <c r="H141" s="19"/>
      <c r="I141" s="19"/>
      <c r="J141" s="19"/>
      <c r="K141" s="21" t="str">
        <f t="shared" si="4"/>
        <v/>
      </c>
      <c r="L141" s="13"/>
      <c r="M141" s="13"/>
      <c r="N141" s="13"/>
      <c r="O141" s="31"/>
      <c r="P141" s="31"/>
      <c r="Q141" s="31"/>
      <c r="R141" s="31"/>
      <c r="S141" s="31"/>
      <c r="T141" s="31"/>
      <c r="U141" s="31"/>
    </row>
    <row r="142" spans="1:21" ht="20.100000000000001" customHeight="1">
      <c r="A142" s="13"/>
      <c r="B142" s="13"/>
      <c r="C142" s="13"/>
      <c r="D142" s="13"/>
      <c r="E142" s="13"/>
      <c r="F142" s="13"/>
      <c r="G142" s="19"/>
      <c r="H142" s="19"/>
      <c r="I142" s="19"/>
      <c r="J142" s="19"/>
      <c r="K142" s="21" t="str">
        <f t="shared" si="4"/>
        <v/>
      </c>
      <c r="L142" s="13"/>
      <c r="M142" s="13"/>
      <c r="N142" s="13"/>
      <c r="O142" s="31"/>
      <c r="P142" s="31"/>
      <c r="Q142" s="31"/>
      <c r="R142" s="31"/>
      <c r="S142" s="31"/>
      <c r="T142" s="31"/>
      <c r="U142" s="31"/>
    </row>
    <row r="143" spans="1:21" ht="20.100000000000001" customHeight="1">
      <c r="A143" s="13"/>
      <c r="B143" s="13"/>
      <c r="C143" s="13"/>
      <c r="D143" s="13"/>
      <c r="E143" s="13"/>
      <c r="F143" s="13"/>
      <c r="G143" s="19"/>
      <c r="H143" s="19"/>
      <c r="I143" s="19"/>
      <c r="J143" s="19"/>
      <c r="K143" s="21" t="str">
        <f t="shared" si="4"/>
        <v/>
      </c>
      <c r="L143" s="13"/>
      <c r="M143" s="13"/>
      <c r="N143" s="13"/>
      <c r="O143" s="31"/>
      <c r="P143" s="31"/>
      <c r="Q143" s="31"/>
      <c r="R143" s="31"/>
      <c r="S143" s="31"/>
      <c r="T143" s="31"/>
      <c r="U143" s="31"/>
    </row>
    <row r="144" spans="1:21" ht="20.100000000000001" customHeight="1">
      <c r="A144" s="13"/>
      <c r="B144" s="13"/>
      <c r="C144" s="13"/>
      <c r="D144" s="13"/>
      <c r="E144" s="13"/>
      <c r="F144" s="13"/>
      <c r="G144" s="19"/>
      <c r="H144" s="19"/>
      <c r="I144" s="19"/>
      <c r="J144" s="19"/>
      <c r="K144" s="21" t="str">
        <f t="shared" si="4"/>
        <v/>
      </c>
      <c r="L144" s="13"/>
      <c r="M144" s="13"/>
      <c r="N144" s="13"/>
      <c r="O144" s="31"/>
      <c r="P144" s="31"/>
      <c r="Q144" s="31"/>
      <c r="R144" s="31"/>
      <c r="S144" s="31"/>
      <c r="T144" s="31"/>
      <c r="U144" s="31"/>
    </row>
    <row r="145" spans="1:21" ht="20.100000000000001" customHeight="1">
      <c r="A145" s="13"/>
      <c r="B145" s="13"/>
      <c r="C145" s="13"/>
      <c r="D145" s="13"/>
      <c r="E145" s="13"/>
      <c r="F145" s="13"/>
      <c r="G145" s="19"/>
      <c r="H145" s="19"/>
      <c r="I145" s="19"/>
      <c r="J145" s="19"/>
      <c r="K145" s="21" t="str">
        <f t="shared" si="4"/>
        <v/>
      </c>
      <c r="L145" s="13"/>
      <c r="M145" s="13"/>
      <c r="N145" s="13"/>
      <c r="O145" s="31"/>
      <c r="P145" s="31"/>
      <c r="Q145" s="31"/>
      <c r="R145" s="31"/>
      <c r="S145" s="31"/>
      <c r="T145" s="31"/>
      <c r="U145" s="31"/>
    </row>
    <row r="146" spans="1:21" ht="20.100000000000001" customHeight="1">
      <c r="A146" s="13"/>
      <c r="B146" s="13"/>
      <c r="C146" s="13"/>
      <c r="D146" s="13"/>
      <c r="E146" s="13"/>
      <c r="F146" s="13"/>
      <c r="G146" s="19"/>
      <c r="H146" s="19"/>
      <c r="I146" s="19"/>
      <c r="J146" s="19"/>
      <c r="K146" s="21" t="str">
        <f t="shared" si="4"/>
        <v/>
      </c>
      <c r="L146" s="13"/>
      <c r="M146" s="13"/>
      <c r="N146" s="13"/>
      <c r="O146" s="31"/>
      <c r="P146" s="31"/>
      <c r="Q146" s="31"/>
      <c r="R146" s="31"/>
      <c r="S146" s="31"/>
      <c r="T146" s="31"/>
      <c r="U146" s="31"/>
    </row>
    <row r="147" spans="1:21" ht="20.100000000000001" customHeight="1">
      <c r="A147" s="13"/>
      <c r="B147" s="13"/>
      <c r="C147" s="13"/>
      <c r="D147" s="13"/>
      <c r="E147" s="13"/>
      <c r="F147" s="13"/>
      <c r="G147" s="19"/>
      <c r="H147" s="19"/>
      <c r="I147" s="19"/>
      <c r="J147" s="19"/>
      <c r="K147" s="21" t="str">
        <f t="shared" si="4"/>
        <v/>
      </c>
      <c r="L147" s="13"/>
      <c r="M147" s="13"/>
      <c r="N147" s="13"/>
      <c r="O147" s="31"/>
      <c r="P147" s="31"/>
      <c r="Q147" s="31"/>
      <c r="R147" s="31"/>
      <c r="S147" s="31"/>
      <c r="T147" s="31"/>
      <c r="U147" s="31"/>
    </row>
    <row r="148" spans="1:21" ht="20.100000000000001" customHeight="1">
      <c r="A148" s="13"/>
      <c r="B148" s="13"/>
      <c r="C148" s="13"/>
      <c r="D148" s="13"/>
      <c r="E148" s="13"/>
      <c r="F148" s="13"/>
      <c r="G148" s="19"/>
      <c r="H148" s="19"/>
      <c r="I148" s="19"/>
      <c r="J148" s="19"/>
      <c r="K148" s="21" t="str">
        <f t="shared" si="4"/>
        <v/>
      </c>
      <c r="L148" s="13"/>
      <c r="M148" s="13"/>
      <c r="N148" s="13"/>
      <c r="O148" s="31"/>
      <c r="P148" s="31"/>
      <c r="Q148" s="31"/>
      <c r="R148" s="31"/>
      <c r="S148" s="31"/>
      <c r="T148" s="31"/>
      <c r="U148" s="31"/>
    </row>
    <row r="149" spans="1:21" ht="20.100000000000001" customHeight="1">
      <c r="A149" s="13"/>
      <c r="B149" s="13"/>
      <c r="C149" s="13"/>
      <c r="D149" s="13"/>
      <c r="E149" s="13"/>
      <c r="F149" s="13"/>
      <c r="G149" s="19"/>
      <c r="H149" s="19"/>
      <c r="I149" s="19"/>
      <c r="J149" s="19"/>
      <c r="K149" s="21" t="str">
        <f t="shared" si="4"/>
        <v/>
      </c>
      <c r="L149" s="13"/>
      <c r="M149" s="13"/>
      <c r="N149" s="13"/>
      <c r="O149" s="31"/>
      <c r="P149" s="31"/>
      <c r="Q149" s="31"/>
      <c r="R149" s="31"/>
      <c r="S149" s="31"/>
      <c r="T149" s="31"/>
      <c r="U149" s="31"/>
    </row>
    <row r="150" spans="1:21" ht="20.100000000000001" customHeight="1">
      <c r="A150" s="13"/>
      <c r="B150" s="13"/>
      <c r="C150" s="13"/>
      <c r="D150" s="13"/>
      <c r="E150" s="13"/>
      <c r="F150" s="13"/>
      <c r="G150" s="19"/>
      <c r="H150" s="19"/>
      <c r="I150" s="19"/>
      <c r="J150" s="19"/>
      <c r="K150" s="21" t="str">
        <f t="shared" si="4"/>
        <v/>
      </c>
      <c r="L150" s="13"/>
      <c r="M150" s="13"/>
      <c r="N150" s="13"/>
      <c r="O150" s="31"/>
      <c r="P150" s="31"/>
      <c r="Q150" s="31"/>
      <c r="R150" s="31"/>
      <c r="S150" s="31"/>
      <c r="T150" s="31"/>
      <c r="U150" s="31"/>
    </row>
    <row r="151" spans="1:21" ht="20.100000000000001" customHeight="1">
      <c r="A151" s="13"/>
      <c r="B151" s="13"/>
      <c r="C151" s="13"/>
      <c r="D151" s="13"/>
      <c r="E151" s="13"/>
      <c r="F151" s="13"/>
      <c r="G151" s="19"/>
      <c r="H151" s="19"/>
      <c r="I151" s="19"/>
      <c r="J151" s="19"/>
      <c r="K151" s="21" t="str">
        <f t="shared" si="4"/>
        <v/>
      </c>
      <c r="L151" s="13"/>
      <c r="M151" s="13"/>
      <c r="N151" s="13"/>
      <c r="O151" s="31"/>
      <c r="P151" s="31"/>
      <c r="Q151" s="31"/>
      <c r="R151" s="31"/>
      <c r="S151" s="31"/>
      <c r="T151" s="31"/>
      <c r="U151" s="31"/>
    </row>
    <row r="152" spans="1:21" ht="20.100000000000001" customHeight="1">
      <c r="A152" s="13"/>
      <c r="B152" s="13"/>
      <c r="C152" s="13"/>
      <c r="D152" s="13"/>
      <c r="E152" s="13"/>
      <c r="F152" s="13"/>
      <c r="G152" s="19"/>
      <c r="H152" s="19"/>
      <c r="I152" s="19"/>
      <c r="J152" s="19"/>
      <c r="K152" s="21" t="str">
        <f t="shared" si="4"/>
        <v/>
      </c>
      <c r="L152" s="13"/>
      <c r="M152" s="13"/>
      <c r="N152" s="13"/>
      <c r="O152" s="31"/>
      <c r="P152" s="31"/>
      <c r="Q152" s="31"/>
      <c r="R152" s="31"/>
      <c r="S152" s="31"/>
      <c r="T152" s="31"/>
      <c r="U152" s="31"/>
    </row>
    <row r="153" spans="1:21" ht="20.100000000000001" customHeight="1">
      <c r="A153" s="13"/>
      <c r="B153" s="13"/>
      <c r="C153" s="13"/>
      <c r="D153" s="13"/>
      <c r="E153" s="13"/>
      <c r="F153" s="13"/>
      <c r="G153" s="19"/>
      <c r="H153" s="19"/>
      <c r="I153" s="19"/>
      <c r="J153" s="19"/>
      <c r="K153" s="21" t="str">
        <f t="shared" si="4"/>
        <v/>
      </c>
      <c r="L153" s="13"/>
      <c r="M153" s="13"/>
      <c r="N153" s="13"/>
      <c r="O153" s="31"/>
      <c r="P153" s="31"/>
      <c r="Q153" s="31"/>
      <c r="R153" s="31"/>
      <c r="S153" s="31"/>
      <c r="T153" s="31"/>
      <c r="U153" s="31"/>
    </row>
    <row r="154" spans="1:21" ht="20.100000000000001" customHeight="1">
      <c r="A154" s="13"/>
      <c r="B154" s="13"/>
      <c r="C154" s="13"/>
      <c r="D154" s="13"/>
      <c r="E154" s="13"/>
      <c r="F154" s="13"/>
      <c r="G154" s="19"/>
      <c r="H154" s="19"/>
      <c r="I154" s="19"/>
      <c r="J154" s="19"/>
      <c r="K154" s="21" t="str">
        <f t="shared" si="4"/>
        <v/>
      </c>
      <c r="L154" s="13"/>
      <c r="M154" s="13"/>
      <c r="N154" s="13"/>
      <c r="O154" s="31"/>
      <c r="P154" s="31"/>
      <c r="Q154" s="31"/>
      <c r="R154" s="31"/>
      <c r="S154" s="31"/>
      <c r="T154" s="31"/>
      <c r="U154" s="31"/>
    </row>
    <row r="155" spans="1:21" ht="20.100000000000001" customHeight="1">
      <c r="A155" s="13"/>
      <c r="B155" s="13"/>
      <c r="C155" s="13"/>
      <c r="D155" s="13"/>
      <c r="E155" s="13"/>
      <c r="F155" s="13"/>
      <c r="G155" s="19"/>
      <c r="H155" s="19"/>
      <c r="I155" s="19"/>
      <c r="J155" s="19"/>
      <c r="K155" s="21" t="str">
        <f t="shared" si="4"/>
        <v/>
      </c>
      <c r="L155" s="13"/>
      <c r="M155" s="13"/>
      <c r="N155" s="13"/>
      <c r="O155" s="31"/>
      <c r="P155" s="31"/>
      <c r="Q155" s="31"/>
      <c r="R155" s="31"/>
      <c r="S155" s="31"/>
      <c r="T155" s="31"/>
      <c r="U155" s="31"/>
    </row>
    <row r="156" spans="1:21" ht="20.100000000000001" customHeight="1">
      <c r="A156" s="13"/>
      <c r="B156" s="13"/>
      <c r="C156" s="13"/>
      <c r="D156" s="13"/>
      <c r="E156" s="13"/>
      <c r="F156" s="13"/>
      <c r="G156" s="19"/>
      <c r="H156" s="19"/>
      <c r="I156" s="19"/>
      <c r="J156" s="19"/>
      <c r="K156" s="21" t="str">
        <f t="shared" si="4"/>
        <v/>
      </c>
      <c r="L156" s="13"/>
      <c r="M156" s="13"/>
      <c r="N156" s="13"/>
      <c r="O156" s="31"/>
      <c r="P156" s="31"/>
      <c r="Q156" s="31"/>
      <c r="R156" s="31"/>
      <c r="S156" s="31"/>
      <c r="T156" s="31"/>
      <c r="U156" s="31"/>
    </row>
    <row r="157" spans="1:21" ht="20.100000000000001" customHeight="1">
      <c r="A157" s="13"/>
      <c r="B157" s="13"/>
      <c r="C157" s="13"/>
      <c r="D157" s="13"/>
      <c r="E157" s="13"/>
      <c r="F157" s="13"/>
      <c r="G157" s="19"/>
      <c r="H157" s="19"/>
      <c r="I157" s="19"/>
      <c r="J157" s="19"/>
      <c r="K157" s="21" t="str">
        <f t="shared" si="4"/>
        <v/>
      </c>
      <c r="L157" s="13"/>
      <c r="M157" s="13"/>
      <c r="N157" s="13"/>
      <c r="O157" s="31"/>
      <c r="P157" s="31"/>
      <c r="Q157" s="31"/>
      <c r="R157" s="31"/>
      <c r="S157" s="31"/>
      <c r="T157" s="31"/>
      <c r="U157" s="31"/>
    </row>
    <row r="158" spans="1:21" ht="20.100000000000001" customHeight="1">
      <c r="A158" s="13"/>
      <c r="B158" s="13"/>
      <c r="C158" s="13"/>
      <c r="D158" s="13"/>
      <c r="E158" s="13"/>
      <c r="F158" s="13"/>
      <c r="G158" s="19"/>
      <c r="H158" s="19"/>
      <c r="I158" s="19"/>
      <c r="J158" s="19"/>
      <c r="K158" s="21" t="str">
        <f t="shared" si="4"/>
        <v/>
      </c>
      <c r="L158" s="13"/>
      <c r="M158" s="13"/>
      <c r="N158" s="13"/>
      <c r="O158" s="31"/>
      <c r="P158" s="31"/>
      <c r="Q158" s="31"/>
      <c r="R158" s="31"/>
      <c r="S158" s="31"/>
      <c r="T158" s="31"/>
      <c r="U158" s="31"/>
    </row>
    <row r="159" spans="1:21" ht="20.100000000000001" customHeight="1">
      <c r="A159" s="13"/>
      <c r="B159" s="13"/>
      <c r="C159" s="13"/>
      <c r="D159" s="13"/>
      <c r="E159" s="13"/>
      <c r="F159" s="13"/>
      <c r="G159" s="19"/>
      <c r="H159" s="19"/>
      <c r="I159" s="19"/>
      <c r="J159" s="19"/>
      <c r="K159" s="21" t="str">
        <f t="shared" si="4"/>
        <v/>
      </c>
      <c r="L159" s="13"/>
      <c r="M159" s="13"/>
      <c r="N159" s="13"/>
      <c r="O159" s="31"/>
      <c r="P159" s="31"/>
      <c r="Q159" s="31"/>
      <c r="R159" s="31"/>
      <c r="S159" s="31"/>
      <c r="T159" s="31"/>
      <c r="U159" s="31"/>
    </row>
    <row r="160" spans="1:21" ht="20.100000000000001" customHeight="1">
      <c r="A160" s="13"/>
      <c r="B160" s="13"/>
      <c r="C160" s="13"/>
      <c r="D160" s="13"/>
      <c r="E160" s="13"/>
      <c r="F160" s="13"/>
      <c r="G160" s="19"/>
      <c r="H160" s="19"/>
      <c r="I160" s="19"/>
      <c r="J160" s="19"/>
      <c r="K160" s="21" t="str">
        <f t="shared" si="4"/>
        <v/>
      </c>
      <c r="L160" s="13"/>
      <c r="M160" s="13"/>
      <c r="N160" s="13"/>
      <c r="O160" s="31"/>
      <c r="P160" s="31"/>
      <c r="Q160" s="31"/>
      <c r="R160" s="31"/>
      <c r="S160" s="31"/>
      <c r="T160" s="31"/>
      <c r="U160" s="31"/>
    </row>
    <row r="161" spans="1:21" ht="20.100000000000001" customHeight="1">
      <c r="A161" s="13"/>
      <c r="B161" s="13"/>
      <c r="C161" s="13"/>
      <c r="D161" s="13"/>
      <c r="E161" s="13"/>
      <c r="F161" s="13"/>
      <c r="G161" s="19"/>
      <c r="H161" s="19"/>
      <c r="I161" s="19"/>
      <c r="J161" s="19"/>
      <c r="K161" s="21" t="str">
        <f t="shared" si="4"/>
        <v/>
      </c>
      <c r="L161" s="13"/>
      <c r="M161" s="13"/>
      <c r="N161" s="13"/>
      <c r="O161" s="31"/>
      <c r="P161" s="31"/>
      <c r="Q161" s="31"/>
      <c r="R161" s="31"/>
      <c r="S161" s="31"/>
      <c r="T161" s="31"/>
      <c r="U161" s="31"/>
    </row>
    <row r="162" spans="1:21" ht="20.100000000000001" customHeight="1">
      <c r="A162" s="13"/>
      <c r="B162" s="13"/>
      <c r="C162" s="13"/>
      <c r="D162" s="13"/>
      <c r="E162" s="13"/>
      <c r="F162" s="13"/>
      <c r="G162" s="19"/>
      <c r="H162" s="19"/>
      <c r="I162" s="19"/>
      <c r="J162" s="19"/>
      <c r="K162" s="21" t="str">
        <f t="shared" si="4"/>
        <v/>
      </c>
      <c r="L162" s="13"/>
      <c r="M162" s="13"/>
      <c r="N162" s="13"/>
      <c r="O162" s="31"/>
      <c r="P162" s="31"/>
      <c r="Q162" s="31"/>
      <c r="R162" s="31"/>
      <c r="S162" s="31"/>
      <c r="T162" s="31"/>
      <c r="U162" s="31"/>
    </row>
    <row r="163" spans="1:21" ht="20.100000000000001" customHeight="1">
      <c r="A163" s="13"/>
      <c r="B163" s="13"/>
      <c r="C163" s="13"/>
      <c r="D163" s="13"/>
      <c r="E163" s="13"/>
      <c r="F163" s="13"/>
      <c r="G163" s="19"/>
      <c r="H163" s="19"/>
      <c r="I163" s="19"/>
      <c r="J163" s="19"/>
      <c r="K163" s="21" t="str">
        <f t="shared" si="4"/>
        <v/>
      </c>
      <c r="L163" s="13"/>
      <c r="M163" s="13"/>
      <c r="N163" s="13"/>
      <c r="O163" s="31"/>
      <c r="P163" s="31"/>
      <c r="Q163" s="31"/>
      <c r="R163" s="31"/>
      <c r="S163" s="31"/>
      <c r="T163" s="31"/>
      <c r="U163" s="31"/>
    </row>
    <row r="164" spans="1:21" ht="20.100000000000001" customHeight="1">
      <c r="A164" s="13"/>
      <c r="B164" s="13"/>
      <c r="C164" s="13"/>
      <c r="D164" s="13"/>
      <c r="E164" s="13"/>
      <c r="F164" s="13"/>
      <c r="G164" s="19"/>
      <c r="H164" s="19"/>
      <c r="I164" s="19"/>
      <c r="J164" s="19"/>
      <c r="K164" s="21" t="str">
        <f t="shared" si="4"/>
        <v/>
      </c>
      <c r="L164" s="13"/>
      <c r="M164" s="13"/>
      <c r="N164" s="13"/>
      <c r="O164" s="31"/>
      <c r="P164" s="31"/>
      <c r="Q164" s="31"/>
      <c r="R164" s="31"/>
      <c r="S164" s="31"/>
      <c r="T164" s="31"/>
      <c r="U164" s="31"/>
    </row>
    <row r="165" spans="1:21" ht="20.100000000000001" customHeight="1">
      <c r="A165" s="13"/>
      <c r="B165" s="13"/>
      <c r="C165" s="13"/>
      <c r="D165" s="13"/>
      <c r="E165" s="13"/>
      <c r="F165" s="13"/>
      <c r="G165" s="19"/>
      <c r="H165" s="19"/>
      <c r="I165" s="19"/>
      <c r="J165" s="19"/>
      <c r="K165" s="21" t="str">
        <f t="shared" si="4"/>
        <v/>
      </c>
      <c r="L165" s="13"/>
      <c r="M165" s="13"/>
      <c r="N165" s="13"/>
      <c r="O165" s="31"/>
      <c r="P165" s="31"/>
      <c r="Q165" s="31"/>
      <c r="R165" s="31"/>
      <c r="S165" s="31"/>
      <c r="T165" s="31"/>
      <c r="U165" s="31"/>
    </row>
    <row r="166" spans="1:21" ht="20.100000000000001" customHeight="1">
      <c r="A166" s="13"/>
      <c r="B166" s="13"/>
      <c r="C166" s="13"/>
      <c r="D166" s="13"/>
      <c r="E166" s="13"/>
      <c r="F166" s="13"/>
      <c r="G166" s="19"/>
      <c r="H166" s="19"/>
      <c r="I166" s="19"/>
      <c r="J166" s="19"/>
      <c r="K166" s="21" t="str">
        <f t="shared" ref="K166:K197" si="5">IF(A166="","",IF(OR(G166="",H166="",H166=0),"",G166/H166))</f>
        <v/>
      </c>
      <c r="L166" s="13"/>
      <c r="M166" s="13"/>
      <c r="N166" s="13"/>
      <c r="O166" s="31"/>
      <c r="P166" s="31"/>
      <c r="Q166" s="31"/>
      <c r="R166" s="31"/>
      <c r="S166" s="31"/>
      <c r="T166" s="31"/>
      <c r="U166" s="31"/>
    </row>
    <row r="167" spans="1:21" ht="20.100000000000001" customHeight="1">
      <c r="A167" s="13"/>
      <c r="B167" s="13"/>
      <c r="C167" s="13"/>
      <c r="D167" s="13"/>
      <c r="E167" s="13"/>
      <c r="F167" s="13"/>
      <c r="G167" s="19"/>
      <c r="H167" s="19"/>
      <c r="I167" s="19"/>
      <c r="J167" s="19"/>
      <c r="K167" s="21" t="str">
        <f t="shared" si="5"/>
        <v/>
      </c>
      <c r="L167" s="13"/>
      <c r="M167" s="13"/>
      <c r="N167" s="13"/>
      <c r="O167" s="31"/>
      <c r="P167" s="31"/>
      <c r="Q167" s="31"/>
      <c r="R167" s="31"/>
      <c r="S167" s="31"/>
      <c r="T167" s="31"/>
      <c r="U167" s="31"/>
    </row>
    <row r="168" spans="1:21" ht="20.100000000000001" customHeight="1">
      <c r="A168" s="13"/>
      <c r="B168" s="13"/>
      <c r="C168" s="13"/>
      <c r="D168" s="13"/>
      <c r="E168" s="13"/>
      <c r="F168" s="13"/>
      <c r="G168" s="19"/>
      <c r="H168" s="19"/>
      <c r="I168" s="19"/>
      <c r="J168" s="19"/>
      <c r="K168" s="21" t="str">
        <f t="shared" si="5"/>
        <v/>
      </c>
      <c r="L168" s="13"/>
      <c r="M168" s="13"/>
      <c r="N168" s="13"/>
      <c r="O168" s="31"/>
      <c r="P168" s="31"/>
      <c r="Q168" s="31"/>
      <c r="R168" s="31"/>
      <c r="S168" s="31"/>
      <c r="T168" s="31"/>
      <c r="U168" s="31"/>
    </row>
    <row r="169" spans="1:21" ht="20.100000000000001" customHeight="1">
      <c r="A169" s="13"/>
      <c r="B169" s="13"/>
      <c r="C169" s="13"/>
      <c r="D169" s="13"/>
      <c r="E169" s="13"/>
      <c r="F169" s="13"/>
      <c r="G169" s="19"/>
      <c r="H169" s="19"/>
      <c r="I169" s="19"/>
      <c r="J169" s="19"/>
      <c r="K169" s="21" t="str">
        <f t="shared" si="5"/>
        <v/>
      </c>
      <c r="L169" s="13"/>
      <c r="M169" s="13"/>
      <c r="N169" s="13"/>
      <c r="O169" s="31"/>
      <c r="P169" s="31"/>
      <c r="Q169" s="31"/>
      <c r="R169" s="31"/>
      <c r="S169" s="31"/>
      <c r="T169" s="31"/>
      <c r="U169" s="31"/>
    </row>
    <row r="170" spans="1:21" ht="20.100000000000001" customHeight="1">
      <c r="A170" s="13"/>
      <c r="B170" s="13"/>
      <c r="C170" s="13"/>
      <c r="D170" s="13"/>
      <c r="E170" s="13"/>
      <c r="F170" s="13"/>
      <c r="G170" s="19"/>
      <c r="H170" s="19"/>
      <c r="I170" s="19"/>
      <c r="J170" s="19"/>
      <c r="K170" s="21" t="str">
        <f t="shared" si="5"/>
        <v/>
      </c>
      <c r="L170" s="13"/>
      <c r="M170" s="13"/>
      <c r="N170" s="13"/>
      <c r="O170" s="31"/>
      <c r="P170" s="31"/>
      <c r="Q170" s="31"/>
      <c r="R170" s="31"/>
      <c r="S170" s="31"/>
      <c r="T170" s="31"/>
      <c r="U170" s="31"/>
    </row>
    <row r="171" spans="1:21" ht="20.100000000000001" customHeight="1">
      <c r="A171" s="13"/>
      <c r="B171" s="13"/>
      <c r="C171" s="13"/>
      <c r="D171" s="13"/>
      <c r="E171" s="13"/>
      <c r="F171" s="13"/>
      <c r="G171" s="19"/>
      <c r="H171" s="19"/>
      <c r="I171" s="19"/>
      <c r="J171" s="19"/>
      <c r="K171" s="21" t="str">
        <f t="shared" si="5"/>
        <v/>
      </c>
      <c r="L171" s="13"/>
      <c r="M171" s="13"/>
      <c r="N171" s="13"/>
      <c r="O171" s="31"/>
      <c r="P171" s="31"/>
      <c r="Q171" s="31"/>
      <c r="R171" s="31"/>
      <c r="S171" s="31"/>
      <c r="T171" s="31"/>
      <c r="U171" s="31"/>
    </row>
    <row r="172" spans="1:21" ht="20.100000000000001" customHeight="1">
      <c r="A172" s="13"/>
      <c r="B172" s="13"/>
      <c r="C172" s="13"/>
      <c r="D172" s="13"/>
      <c r="E172" s="13"/>
      <c r="F172" s="13"/>
      <c r="G172" s="19"/>
      <c r="H172" s="19"/>
      <c r="I172" s="19"/>
      <c r="J172" s="19"/>
      <c r="K172" s="21" t="str">
        <f t="shared" si="5"/>
        <v/>
      </c>
      <c r="L172" s="13"/>
      <c r="M172" s="13"/>
      <c r="N172" s="13"/>
      <c r="O172" s="31"/>
      <c r="P172" s="31"/>
      <c r="Q172" s="31"/>
      <c r="R172" s="31"/>
      <c r="S172" s="31"/>
      <c r="T172" s="31"/>
      <c r="U172" s="31"/>
    </row>
    <row r="173" spans="1:21" ht="20.100000000000001" customHeight="1">
      <c r="A173" s="13"/>
      <c r="B173" s="13"/>
      <c r="C173" s="13"/>
      <c r="D173" s="13"/>
      <c r="E173" s="13"/>
      <c r="F173" s="13"/>
      <c r="G173" s="19"/>
      <c r="H173" s="19"/>
      <c r="I173" s="19"/>
      <c r="J173" s="19"/>
      <c r="K173" s="21" t="str">
        <f t="shared" si="5"/>
        <v/>
      </c>
      <c r="L173" s="13"/>
      <c r="M173" s="13"/>
      <c r="N173" s="13"/>
      <c r="O173" s="31"/>
      <c r="P173" s="31"/>
      <c r="Q173" s="31"/>
      <c r="R173" s="31"/>
      <c r="S173" s="31"/>
      <c r="T173" s="31"/>
      <c r="U173" s="31"/>
    </row>
    <row r="174" spans="1:21" ht="20.100000000000001" customHeight="1">
      <c r="A174" s="13"/>
      <c r="B174" s="13"/>
      <c r="C174" s="13"/>
      <c r="D174" s="13"/>
      <c r="E174" s="13"/>
      <c r="F174" s="13"/>
      <c r="G174" s="19"/>
      <c r="H174" s="19"/>
      <c r="I174" s="19"/>
      <c r="J174" s="19"/>
      <c r="K174" s="21" t="str">
        <f t="shared" si="5"/>
        <v/>
      </c>
      <c r="L174" s="13"/>
      <c r="M174" s="13"/>
      <c r="N174" s="13"/>
      <c r="O174" s="31"/>
      <c r="P174" s="31"/>
      <c r="Q174" s="31"/>
      <c r="R174" s="31"/>
      <c r="S174" s="31"/>
      <c r="T174" s="31"/>
      <c r="U174" s="31"/>
    </row>
    <row r="175" spans="1:21" ht="20.100000000000001" customHeight="1">
      <c r="A175" s="13"/>
      <c r="B175" s="13"/>
      <c r="C175" s="13"/>
      <c r="D175" s="13"/>
      <c r="E175" s="13"/>
      <c r="F175" s="13"/>
      <c r="G175" s="19"/>
      <c r="H175" s="19"/>
      <c r="I175" s="19"/>
      <c r="J175" s="19"/>
      <c r="K175" s="21" t="str">
        <f t="shared" si="5"/>
        <v/>
      </c>
      <c r="L175" s="13"/>
      <c r="M175" s="13"/>
      <c r="N175" s="13"/>
      <c r="O175" s="31"/>
      <c r="P175" s="31"/>
      <c r="Q175" s="31"/>
      <c r="R175" s="31"/>
      <c r="S175" s="31"/>
      <c r="T175" s="31"/>
      <c r="U175" s="31"/>
    </row>
    <row r="176" spans="1:21" ht="20.100000000000001" customHeight="1">
      <c r="A176" s="13"/>
      <c r="B176" s="13"/>
      <c r="C176" s="13"/>
      <c r="D176" s="13"/>
      <c r="E176" s="13"/>
      <c r="F176" s="13"/>
      <c r="G176" s="19"/>
      <c r="H176" s="19"/>
      <c r="I176" s="19"/>
      <c r="J176" s="19"/>
      <c r="K176" s="21" t="str">
        <f t="shared" si="5"/>
        <v/>
      </c>
      <c r="L176" s="13"/>
      <c r="M176" s="13"/>
      <c r="N176" s="13"/>
      <c r="O176" s="31"/>
      <c r="P176" s="31"/>
      <c r="Q176" s="31"/>
      <c r="R176" s="31"/>
      <c r="S176" s="31"/>
      <c r="T176" s="31"/>
      <c r="U176" s="31"/>
    </row>
    <row r="177" spans="1:21" ht="20.100000000000001" customHeight="1">
      <c r="A177" s="13"/>
      <c r="B177" s="13"/>
      <c r="C177" s="13"/>
      <c r="D177" s="13"/>
      <c r="E177" s="13"/>
      <c r="F177" s="13"/>
      <c r="G177" s="19"/>
      <c r="H177" s="19"/>
      <c r="I177" s="19"/>
      <c r="J177" s="19"/>
      <c r="K177" s="21" t="str">
        <f t="shared" si="5"/>
        <v/>
      </c>
      <c r="L177" s="13"/>
      <c r="M177" s="13"/>
      <c r="N177" s="13"/>
      <c r="O177" s="31"/>
      <c r="P177" s="31"/>
      <c r="Q177" s="31"/>
      <c r="R177" s="31"/>
      <c r="S177" s="31"/>
      <c r="T177" s="31"/>
      <c r="U177" s="31"/>
    </row>
    <row r="178" spans="1:21" ht="20.100000000000001" customHeight="1">
      <c r="A178" s="13"/>
      <c r="B178" s="13"/>
      <c r="C178" s="13"/>
      <c r="D178" s="13"/>
      <c r="E178" s="13"/>
      <c r="F178" s="13"/>
      <c r="G178" s="19"/>
      <c r="H178" s="19"/>
      <c r="I178" s="19"/>
      <c r="J178" s="19"/>
      <c r="K178" s="21" t="str">
        <f t="shared" si="5"/>
        <v/>
      </c>
      <c r="L178" s="13"/>
      <c r="M178" s="13"/>
      <c r="N178" s="13"/>
      <c r="O178" s="31"/>
      <c r="P178" s="31"/>
      <c r="Q178" s="31"/>
      <c r="R178" s="31"/>
      <c r="S178" s="31"/>
      <c r="T178" s="31"/>
      <c r="U178" s="31"/>
    </row>
    <row r="179" spans="1:21" ht="20.100000000000001" customHeight="1">
      <c r="A179" s="13"/>
      <c r="B179" s="13"/>
      <c r="C179" s="13"/>
      <c r="D179" s="13"/>
      <c r="E179" s="13"/>
      <c r="F179" s="13"/>
      <c r="G179" s="19"/>
      <c r="H179" s="19"/>
      <c r="I179" s="19"/>
      <c r="J179" s="19"/>
      <c r="K179" s="21" t="str">
        <f t="shared" si="5"/>
        <v/>
      </c>
      <c r="L179" s="13"/>
      <c r="M179" s="13"/>
      <c r="N179" s="13"/>
      <c r="O179" s="31"/>
      <c r="P179" s="31"/>
      <c r="Q179" s="31"/>
      <c r="R179" s="31"/>
      <c r="S179" s="31"/>
      <c r="T179" s="31"/>
      <c r="U179" s="31"/>
    </row>
    <row r="180" spans="1:21" ht="20.100000000000001" customHeight="1">
      <c r="A180" s="13"/>
      <c r="B180" s="13"/>
      <c r="C180" s="13"/>
      <c r="D180" s="13"/>
      <c r="E180" s="13"/>
      <c r="F180" s="13"/>
      <c r="G180" s="19"/>
      <c r="H180" s="19"/>
      <c r="I180" s="19"/>
      <c r="J180" s="19"/>
      <c r="K180" s="21" t="str">
        <f t="shared" si="5"/>
        <v/>
      </c>
      <c r="L180" s="13"/>
      <c r="M180" s="13"/>
      <c r="N180" s="13"/>
      <c r="O180" s="31"/>
      <c r="P180" s="31"/>
      <c r="Q180" s="31"/>
      <c r="R180" s="31"/>
      <c r="S180" s="31"/>
      <c r="T180" s="31"/>
      <c r="U180" s="31"/>
    </row>
    <row r="181" spans="1:21" ht="20.100000000000001" customHeight="1">
      <c r="A181" s="13"/>
      <c r="B181" s="13"/>
      <c r="C181" s="13"/>
      <c r="D181" s="13"/>
      <c r="E181" s="13"/>
      <c r="F181" s="13"/>
      <c r="G181" s="19"/>
      <c r="H181" s="19"/>
      <c r="I181" s="19"/>
      <c r="J181" s="19"/>
      <c r="K181" s="21" t="str">
        <f t="shared" si="5"/>
        <v/>
      </c>
      <c r="L181" s="13"/>
      <c r="M181" s="13"/>
      <c r="N181" s="13"/>
      <c r="O181" s="31"/>
      <c r="P181" s="31"/>
      <c r="Q181" s="31"/>
      <c r="R181" s="31"/>
      <c r="S181" s="31"/>
      <c r="T181" s="31"/>
      <c r="U181" s="31"/>
    </row>
    <row r="182" spans="1:21" ht="20.100000000000001" customHeight="1">
      <c r="A182" s="13"/>
      <c r="B182" s="13"/>
      <c r="C182" s="13"/>
      <c r="D182" s="13"/>
      <c r="E182" s="13"/>
      <c r="F182" s="13"/>
      <c r="G182" s="19"/>
      <c r="H182" s="19"/>
      <c r="I182" s="19"/>
      <c r="J182" s="19"/>
      <c r="K182" s="21" t="str">
        <f t="shared" si="5"/>
        <v/>
      </c>
      <c r="L182" s="13"/>
      <c r="M182" s="13"/>
      <c r="N182" s="13"/>
      <c r="O182" s="31"/>
      <c r="P182" s="31"/>
      <c r="Q182" s="31"/>
      <c r="R182" s="31"/>
      <c r="S182" s="31"/>
      <c r="T182" s="31"/>
      <c r="U182" s="31"/>
    </row>
    <row r="183" spans="1:21" ht="20.100000000000001" customHeight="1">
      <c r="A183" s="13"/>
      <c r="B183" s="13"/>
      <c r="C183" s="13"/>
      <c r="D183" s="13"/>
      <c r="E183" s="13"/>
      <c r="F183" s="13"/>
      <c r="G183" s="19"/>
      <c r="H183" s="19"/>
      <c r="I183" s="19"/>
      <c r="J183" s="19"/>
      <c r="K183" s="21" t="str">
        <f t="shared" si="5"/>
        <v/>
      </c>
      <c r="L183" s="13"/>
      <c r="M183" s="13"/>
      <c r="N183" s="13"/>
      <c r="O183" s="31"/>
      <c r="P183" s="31"/>
      <c r="Q183" s="31"/>
      <c r="R183" s="31"/>
      <c r="S183" s="31"/>
      <c r="T183" s="31"/>
      <c r="U183" s="31"/>
    </row>
    <row r="184" spans="1:21" ht="20.100000000000001" customHeight="1">
      <c r="A184" s="13"/>
      <c r="B184" s="13"/>
      <c r="C184" s="13"/>
      <c r="D184" s="13"/>
      <c r="E184" s="13"/>
      <c r="F184" s="13"/>
      <c r="G184" s="19"/>
      <c r="H184" s="19"/>
      <c r="I184" s="19"/>
      <c r="J184" s="19"/>
      <c r="K184" s="21" t="str">
        <f t="shared" si="5"/>
        <v/>
      </c>
      <c r="L184" s="13"/>
      <c r="M184" s="13"/>
      <c r="N184" s="13"/>
      <c r="O184" s="31"/>
      <c r="P184" s="31"/>
      <c r="Q184" s="31"/>
      <c r="R184" s="31"/>
      <c r="S184" s="31"/>
      <c r="T184" s="31"/>
      <c r="U184" s="31"/>
    </row>
    <row r="185" spans="1:21" ht="20.100000000000001" customHeight="1">
      <c r="A185" s="13"/>
      <c r="B185" s="13"/>
      <c r="C185" s="13"/>
      <c r="D185" s="13"/>
      <c r="E185" s="13"/>
      <c r="F185" s="13"/>
      <c r="G185" s="19"/>
      <c r="H185" s="19"/>
      <c r="I185" s="19"/>
      <c r="J185" s="19"/>
      <c r="K185" s="21" t="str">
        <f t="shared" si="5"/>
        <v/>
      </c>
      <c r="L185" s="13"/>
      <c r="M185" s="13"/>
      <c r="N185" s="13"/>
      <c r="O185" s="31"/>
      <c r="P185" s="31"/>
      <c r="Q185" s="31"/>
      <c r="R185" s="31"/>
      <c r="S185" s="31"/>
      <c r="T185" s="31"/>
      <c r="U185" s="31"/>
    </row>
    <row r="186" spans="1:21" ht="20.100000000000001" customHeight="1">
      <c r="A186" s="13"/>
      <c r="B186" s="13"/>
      <c r="C186" s="13"/>
      <c r="D186" s="13"/>
      <c r="E186" s="13"/>
      <c r="F186" s="13"/>
      <c r="G186" s="19"/>
      <c r="H186" s="19"/>
      <c r="I186" s="19"/>
      <c r="J186" s="19"/>
      <c r="K186" s="21" t="str">
        <f t="shared" si="5"/>
        <v/>
      </c>
      <c r="L186" s="13"/>
      <c r="M186" s="13"/>
      <c r="N186" s="13"/>
      <c r="O186" s="31"/>
      <c r="P186" s="31"/>
      <c r="Q186" s="31"/>
      <c r="R186" s="31"/>
      <c r="S186" s="31"/>
      <c r="T186" s="31"/>
      <c r="U186" s="31"/>
    </row>
    <row r="187" spans="1:21" ht="20.100000000000001" customHeight="1">
      <c r="A187" s="13"/>
      <c r="B187" s="13"/>
      <c r="C187" s="13"/>
      <c r="D187" s="13"/>
      <c r="E187" s="13"/>
      <c r="F187" s="13"/>
      <c r="G187" s="19"/>
      <c r="H187" s="19"/>
      <c r="I187" s="19"/>
      <c r="J187" s="19"/>
      <c r="K187" s="21" t="str">
        <f t="shared" si="5"/>
        <v/>
      </c>
      <c r="L187" s="13"/>
      <c r="M187" s="13"/>
      <c r="N187" s="13"/>
      <c r="O187" s="31"/>
      <c r="P187" s="31"/>
      <c r="Q187" s="31"/>
      <c r="R187" s="31"/>
      <c r="S187" s="31"/>
      <c r="T187" s="31"/>
      <c r="U187" s="31"/>
    </row>
    <row r="188" spans="1:21" ht="20.100000000000001" customHeight="1">
      <c r="A188" s="13"/>
      <c r="B188" s="13"/>
      <c r="C188" s="13"/>
      <c r="D188" s="13"/>
      <c r="E188" s="13"/>
      <c r="F188" s="13"/>
      <c r="G188" s="19"/>
      <c r="H188" s="19"/>
      <c r="I188" s="19"/>
      <c r="J188" s="19"/>
      <c r="K188" s="21" t="str">
        <f t="shared" si="5"/>
        <v/>
      </c>
      <c r="L188" s="13"/>
      <c r="M188" s="13"/>
      <c r="N188" s="13"/>
      <c r="O188" s="31"/>
      <c r="P188" s="31"/>
      <c r="Q188" s="31"/>
      <c r="R188" s="31"/>
      <c r="S188" s="31"/>
      <c r="T188" s="31"/>
      <c r="U188" s="31"/>
    </row>
    <row r="189" spans="1:21" ht="20.100000000000001" customHeight="1">
      <c r="A189" s="13"/>
      <c r="B189" s="13"/>
      <c r="C189" s="13"/>
      <c r="D189" s="13"/>
      <c r="E189" s="13"/>
      <c r="F189" s="13"/>
      <c r="G189" s="19"/>
      <c r="H189" s="19"/>
      <c r="I189" s="19"/>
      <c r="J189" s="19"/>
      <c r="K189" s="21" t="str">
        <f t="shared" si="5"/>
        <v/>
      </c>
      <c r="L189" s="13"/>
      <c r="M189" s="13"/>
      <c r="N189" s="13"/>
      <c r="O189" s="31"/>
      <c r="P189" s="31"/>
      <c r="Q189" s="31"/>
      <c r="R189" s="31"/>
      <c r="S189" s="31"/>
      <c r="T189" s="31"/>
      <c r="U189" s="31"/>
    </row>
    <row r="190" spans="1:21" ht="20.100000000000001" customHeight="1">
      <c r="A190" s="13"/>
      <c r="B190" s="13"/>
      <c r="C190" s="13"/>
      <c r="D190" s="13"/>
      <c r="E190" s="13"/>
      <c r="F190" s="13"/>
      <c r="G190" s="19"/>
      <c r="H190" s="19"/>
      <c r="I190" s="19"/>
      <c r="J190" s="19"/>
      <c r="K190" s="21" t="str">
        <f t="shared" si="5"/>
        <v/>
      </c>
      <c r="L190" s="13"/>
      <c r="M190" s="13"/>
      <c r="N190" s="13"/>
      <c r="O190" s="31"/>
      <c r="P190" s="31"/>
      <c r="Q190" s="31"/>
      <c r="R190" s="31"/>
      <c r="S190" s="31"/>
      <c r="T190" s="31"/>
      <c r="U190" s="31"/>
    </row>
    <row r="191" spans="1:21" ht="20.100000000000001" customHeight="1">
      <c r="A191" s="13"/>
      <c r="B191" s="13"/>
      <c r="C191" s="13"/>
      <c r="D191" s="13"/>
      <c r="E191" s="13"/>
      <c r="F191" s="13"/>
      <c r="G191" s="19"/>
      <c r="H191" s="19"/>
      <c r="I191" s="19"/>
      <c r="J191" s="19"/>
      <c r="K191" s="21" t="str">
        <f t="shared" si="5"/>
        <v/>
      </c>
      <c r="L191" s="13"/>
      <c r="M191" s="13"/>
      <c r="N191" s="13"/>
      <c r="O191" s="31"/>
      <c r="P191" s="31"/>
      <c r="Q191" s="31"/>
      <c r="R191" s="31"/>
      <c r="S191" s="31"/>
      <c r="T191" s="31"/>
      <c r="U191" s="31"/>
    </row>
    <row r="192" spans="1:21" ht="20.100000000000001" customHeight="1">
      <c r="A192" s="13"/>
      <c r="B192" s="13"/>
      <c r="C192" s="13"/>
      <c r="D192" s="13"/>
      <c r="E192" s="13"/>
      <c r="F192" s="13"/>
      <c r="G192" s="19"/>
      <c r="H192" s="19"/>
      <c r="I192" s="19"/>
      <c r="J192" s="19"/>
      <c r="K192" s="21" t="str">
        <f t="shared" si="5"/>
        <v/>
      </c>
      <c r="L192" s="13"/>
      <c r="M192" s="13"/>
      <c r="N192" s="13"/>
      <c r="O192" s="31"/>
      <c r="P192" s="31"/>
      <c r="Q192" s="31"/>
      <c r="R192" s="31"/>
      <c r="S192" s="31"/>
      <c r="T192" s="31"/>
      <c r="U192" s="31"/>
    </row>
    <row r="193" spans="1:21" ht="20.100000000000001" customHeight="1">
      <c r="A193" s="13"/>
      <c r="B193" s="13"/>
      <c r="C193" s="13"/>
      <c r="D193" s="13"/>
      <c r="E193" s="13"/>
      <c r="F193" s="13"/>
      <c r="G193" s="19"/>
      <c r="H193" s="19"/>
      <c r="I193" s="19"/>
      <c r="J193" s="19"/>
      <c r="K193" s="21" t="str">
        <f t="shared" si="5"/>
        <v/>
      </c>
      <c r="L193" s="13"/>
      <c r="M193" s="13"/>
      <c r="N193" s="13"/>
      <c r="O193" s="31"/>
      <c r="P193" s="31"/>
      <c r="Q193" s="31"/>
      <c r="R193" s="31"/>
      <c r="S193" s="31"/>
      <c r="T193" s="31"/>
      <c r="U193" s="31"/>
    </row>
    <row r="194" spans="1:21" ht="20.100000000000001" customHeight="1">
      <c r="A194" s="13"/>
      <c r="B194" s="13"/>
      <c r="C194" s="13"/>
      <c r="D194" s="13"/>
      <c r="E194" s="13"/>
      <c r="F194" s="13"/>
      <c r="G194" s="19"/>
      <c r="H194" s="19"/>
      <c r="I194" s="19"/>
      <c r="J194" s="19"/>
      <c r="K194" s="21" t="str">
        <f t="shared" si="5"/>
        <v/>
      </c>
      <c r="L194" s="13"/>
      <c r="M194" s="13"/>
      <c r="N194" s="13"/>
      <c r="O194" s="31"/>
      <c r="P194" s="31"/>
      <c r="Q194" s="31"/>
      <c r="R194" s="31"/>
      <c r="S194" s="31"/>
      <c r="T194" s="31"/>
      <c r="U194" s="31"/>
    </row>
    <row r="195" spans="1:21" ht="20.100000000000001" customHeight="1">
      <c r="A195" s="13"/>
      <c r="B195" s="13"/>
      <c r="C195" s="13"/>
      <c r="D195" s="13"/>
      <c r="E195" s="13"/>
      <c r="F195" s="13"/>
      <c r="G195" s="19"/>
      <c r="H195" s="19"/>
      <c r="I195" s="19"/>
      <c r="J195" s="19"/>
      <c r="K195" s="21" t="str">
        <f t="shared" si="5"/>
        <v/>
      </c>
      <c r="L195" s="13"/>
      <c r="M195" s="13"/>
      <c r="N195" s="13"/>
      <c r="O195" s="31"/>
      <c r="P195" s="31"/>
      <c r="Q195" s="31"/>
      <c r="R195" s="31"/>
      <c r="S195" s="31"/>
      <c r="T195" s="31"/>
      <c r="U195" s="31"/>
    </row>
    <row r="196" spans="1:21" ht="20.100000000000001" customHeight="1">
      <c r="A196" s="13"/>
      <c r="B196" s="13"/>
      <c r="C196" s="13"/>
      <c r="D196" s="13"/>
      <c r="E196" s="13"/>
      <c r="F196" s="13"/>
      <c r="G196" s="19"/>
      <c r="H196" s="19"/>
      <c r="I196" s="19"/>
      <c r="J196" s="19"/>
      <c r="K196" s="21" t="str">
        <f t="shared" si="5"/>
        <v/>
      </c>
      <c r="L196" s="13"/>
      <c r="M196" s="13"/>
      <c r="N196" s="13"/>
      <c r="O196" s="31"/>
      <c r="P196" s="31"/>
      <c r="Q196" s="31"/>
      <c r="R196" s="31"/>
      <c r="S196" s="31"/>
      <c r="T196" s="31"/>
      <c r="U196" s="31"/>
    </row>
    <row r="197" spans="1:21" ht="20.100000000000001" customHeight="1">
      <c r="A197" s="13"/>
      <c r="B197" s="13"/>
      <c r="C197" s="13"/>
      <c r="D197" s="13"/>
      <c r="E197" s="13"/>
      <c r="F197" s="13"/>
      <c r="G197" s="19"/>
      <c r="H197" s="19"/>
      <c r="I197" s="19"/>
      <c r="J197" s="19"/>
      <c r="K197" s="21" t="str">
        <f t="shared" si="5"/>
        <v/>
      </c>
      <c r="L197" s="13"/>
      <c r="M197" s="13"/>
      <c r="N197" s="13"/>
      <c r="O197" s="31"/>
      <c r="P197" s="31"/>
      <c r="Q197" s="31"/>
      <c r="R197" s="31"/>
      <c r="S197" s="31"/>
      <c r="T197" s="31"/>
      <c r="U197" s="31"/>
    </row>
    <row r="198" spans="1:21" ht="20.100000000000001" customHeight="1">
      <c r="A198" s="13"/>
      <c r="B198" s="13"/>
      <c r="C198" s="13"/>
      <c r="D198" s="13"/>
      <c r="E198" s="13"/>
      <c r="F198" s="13"/>
      <c r="G198" s="19"/>
      <c r="H198" s="19"/>
      <c r="I198" s="19"/>
      <c r="J198" s="19"/>
      <c r="K198" s="21" t="str">
        <f t="shared" ref="K198:K205" si="6">IF(A198="","",IF(OR(G198="",H198="",H198=0),"",G198/H198))</f>
        <v/>
      </c>
      <c r="L198" s="13"/>
      <c r="M198" s="13"/>
      <c r="N198" s="13"/>
      <c r="O198" s="31"/>
      <c r="P198" s="31"/>
      <c r="Q198" s="31"/>
      <c r="R198" s="31"/>
      <c r="S198" s="31"/>
      <c r="T198" s="31"/>
      <c r="U198" s="31"/>
    </row>
    <row r="199" spans="1:21" ht="20.100000000000001" customHeight="1">
      <c r="A199" s="13"/>
      <c r="B199" s="13"/>
      <c r="C199" s="13"/>
      <c r="D199" s="13"/>
      <c r="E199" s="13"/>
      <c r="F199" s="13"/>
      <c r="G199" s="19"/>
      <c r="H199" s="19"/>
      <c r="I199" s="19"/>
      <c r="J199" s="19"/>
      <c r="K199" s="21" t="str">
        <f t="shared" si="6"/>
        <v/>
      </c>
      <c r="L199" s="13"/>
      <c r="M199" s="13"/>
      <c r="N199" s="13"/>
      <c r="O199" s="31"/>
      <c r="P199" s="31"/>
      <c r="Q199" s="31"/>
      <c r="R199" s="31"/>
      <c r="S199" s="31"/>
      <c r="T199" s="31"/>
      <c r="U199" s="31"/>
    </row>
    <row r="200" spans="1:21" ht="20.100000000000001" customHeight="1">
      <c r="A200" s="13"/>
      <c r="B200" s="13"/>
      <c r="C200" s="13"/>
      <c r="D200" s="13"/>
      <c r="E200" s="13"/>
      <c r="F200" s="13"/>
      <c r="G200" s="19"/>
      <c r="H200" s="19"/>
      <c r="I200" s="19"/>
      <c r="J200" s="19"/>
      <c r="K200" s="21" t="str">
        <f t="shared" si="6"/>
        <v/>
      </c>
      <c r="L200" s="13"/>
      <c r="M200" s="13"/>
      <c r="N200" s="13"/>
      <c r="O200" s="31"/>
      <c r="P200" s="31"/>
      <c r="Q200" s="31"/>
      <c r="R200" s="31"/>
      <c r="S200" s="31"/>
      <c r="T200" s="31"/>
      <c r="U200" s="31"/>
    </row>
    <row r="201" spans="1:21" ht="20.100000000000001" customHeight="1">
      <c r="A201" s="13"/>
      <c r="B201" s="13"/>
      <c r="C201" s="13"/>
      <c r="D201" s="13"/>
      <c r="E201" s="13"/>
      <c r="F201" s="13"/>
      <c r="G201" s="19"/>
      <c r="H201" s="19"/>
      <c r="I201" s="19"/>
      <c r="J201" s="19"/>
      <c r="K201" s="21" t="str">
        <f t="shared" si="6"/>
        <v/>
      </c>
      <c r="L201" s="13"/>
      <c r="M201" s="13"/>
      <c r="N201" s="13"/>
      <c r="O201" s="31"/>
      <c r="P201" s="31"/>
      <c r="Q201" s="31"/>
      <c r="R201" s="31"/>
      <c r="S201" s="31"/>
      <c r="T201" s="31"/>
      <c r="U201" s="31"/>
    </row>
    <row r="202" spans="1:21" ht="20.100000000000001" customHeight="1">
      <c r="A202" s="13"/>
      <c r="B202" s="13"/>
      <c r="C202" s="13"/>
      <c r="D202" s="13"/>
      <c r="E202" s="13"/>
      <c r="F202" s="13"/>
      <c r="G202" s="19"/>
      <c r="H202" s="19"/>
      <c r="I202" s="19"/>
      <c r="J202" s="19"/>
      <c r="K202" s="21" t="str">
        <f t="shared" si="6"/>
        <v/>
      </c>
      <c r="L202" s="13"/>
      <c r="M202" s="13"/>
      <c r="N202" s="13"/>
      <c r="O202" s="31"/>
      <c r="P202" s="31"/>
      <c r="Q202" s="31"/>
      <c r="R202" s="31"/>
      <c r="S202" s="31"/>
      <c r="T202" s="31"/>
      <c r="U202" s="31"/>
    </row>
    <row r="203" spans="1:21" ht="20.100000000000001" customHeight="1">
      <c r="A203" s="13"/>
      <c r="B203" s="13"/>
      <c r="C203" s="13"/>
      <c r="D203" s="13"/>
      <c r="E203" s="13"/>
      <c r="F203" s="13"/>
      <c r="G203" s="19"/>
      <c r="H203" s="19"/>
      <c r="I203" s="19"/>
      <c r="J203" s="19"/>
      <c r="K203" s="21" t="str">
        <f t="shared" si="6"/>
        <v/>
      </c>
      <c r="L203" s="13"/>
      <c r="M203" s="13"/>
      <c r="N203" s="13"/>
      <c r="O203" s="31"/>
      <c r="P203" s="31"/>
      <c r="Q203" s="31"/>
      <c r="R203" s="31"/>
      <c r="S203" s="31"/>
      <c r="T203" s="31"/>
      <c r="U203" s="31"/>
    </row>
    <row r="204" spans="1:21" ht="20.100000000000001" customHeight="1">
      <c r="A204" s="13"/>
      <c r="B204" s="13"/>
      <c r="C204" s="13"/>
      <c r="D204" s="13"/>
      <c r="E204" s="13"/>
      <c r="F204" s="13"/>
      <c r="G204" s="19"/>
      <c r="H204" s="19"/>
      <c r="I204" s="19"/>
      <c r="J204" s="19"/>
      <c r="K204" s="21" t="str">
        <f t="shared" si="6"/>
        <v/>
      </c>
      <c r="L204" s="13"/>
      <c r="M204" s="13"/>
      <c r="N204" s="13"/>
      <c r="O204" s="31"/>
      <c r="P204" s="31"/>
      <c r="Q204" s="31"/>
      <c r="R204" s="31"/>
      <c r="S204" s="31"/>
      <c r="T204" s="31"/>
      <c r="U204" s="31"/>
    </row>
    <row r="205" spans="1:21" ht="20.100000000000001" customHeight="1">
      <c r="A205" s="14"/>
      <c r="B205" s="14"/>
      <c r="C205" s="14"/>
      <c r="D205" s="14"/>
      <c r="E205" s="14"/>
      <c r="F205" s="14"/>
      <c r="G205" s="20"/>
      <c r="H205" s="20"/>
      <c r="I205" s="20"/>
      <c r="J205" s="20"/>
      <c r="K205" s="21" t="str">
        <f t="shared" si="6"/>
        <v/>
      </c>
      <c r="L205" s="14"/>
      <c r="M205" s="14"/>
      <c r="N205" s="14"/>
      <c r="O205" s="31"/>
      <c r="P205" s="31"/>
      <c r="Q205" s="31"/>
      <c r="R205" s="31"/>
      <c r="S205" s="31"/>
      <c r="T205" s="31"/>
      <c r="U205" s="3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</sheetPr>
  <dimension ref="A2:U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2" width="18" customWidth="1"/>
    <col min="3" max="3" width="16" customWidth="1"/>
    <col min="4" max="4" width="14" customWidth="1"/>
    <col min="5" max="5" width="28" customWidth="1"/>
    <col min="6" max="6" width="22" customWidth="1"/>
    <col min="7" max="7" width="16" customWidth="1"/>
    <col min="8" max="8" width="14" customWidth="1"/>
    <col min="9" max="9" width="16" customWidth="1"/>
    <col min="10" max="10" width="12" customWidth="1"/>
    <col min="11" max="11" width="18" customWidth="1"/>
    <col min="12" max="13" width="25" customWidth="1"/>
    <col min="14" max="14" width="34" customWidth="1"/>
  </cols>
  <sheetData>
    <row r="2" spans="1:21" ht="19.5">
      <c r="A2" s="2" t="s">
        <v>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1">
      <c r="A3" s="3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21" ht="42" customHeight="1">
      <c r="A5" s="9" t="s">
        <v>66</v>
      </c>
      <c r="B5" s="10" t="s">
        <v>20</v>
      </c>
      <c r="C5" s="10" t="s">
        <v>67</v>
      </c>
      <c r="D5" s="10" t="s">
        <v>68</v>
      </c>
      <c r="E5" s="10" t="s">
        <v>69</v>
      </c>
      <c r="F5" s="10" t="s">
        <v>25</v>
      </c>
      <c r="G5" s="10" t="s">
        <v>70</v>
      </c>
      <c r="H5" s="10" t="s">
        <v>71</v>
      </c>
      <c r="I5" s="10" t="s">
        <v>72</v>
      </c>
      <c r="J5" s="10" t="s">
        <v>73</v>
      </c>
      <c r="K5" s="10" t="s">
        <v>74</v>
      </c>
      <c r="L5" s="10" t="s">
        <v>50</v>
      </c>
      <c r="M5" s="10" t="s">
        <v>51</v>
      </c>
      <c r="N5" s="11" t="s">
        <v>37</v>
      </c>
    </row>
    <row r="6" spans="1:21" ht="20.100000000000001" customHeight="1">
      <c r="A6" s="12"/>
      <c r="B6" s="12"/>
      <c r="C6" s="12"/>
      <c r="D6" s="12"/>
      <c r="E6" s="12"/>
      <c r="F6" s="12"/>
      <c r="G6" s="15"/>
      <c r="H6" s="15"/>
      <c r="I6" s="22" t="str">
        <f t="shared" ref="I6:I37" si="0">IF(A6="","",IF(OR(G6="",H6=""),"",G6*H6))</f>
        <v/>
      </c>
      <c r="J6" s="12"/>
      <c r="K6" s="23"/>
      <c r="L6" s="12"/>
      <c r="M6" s="12"/>
      <c r="N6" s="12"/>
      <c r="O6" s="31"/>
      <c r="P6" s="31"/>
      <c r="Q6" s="31"/>
      <c r="R6" s="31"/>
      <c r="S6" s="31"/>
      <c r="T6" s="31"/>
      <c r="U6" s="31"/>
    </row>
    <row r="7" spans="1:21" ht="20.100000000000001" customHeight="1">
      <c r="A7" s="13"/>
      <c r="B7" s="13"/>
      <c r="C7" s="13"/>
      <c r="D7" s="13"/>
      <c r="E7" s="13"/>
      <c r="F7" s="13"/>
      <c r="G7" s="16"/>
      <c r="H7" s="16"/>
      <c r="I7" s="22" t="str">
        <f t="shared" si="0"/>
        <v/>
      </c>
      <c r="J7" s="13"/>
      <c r="K7" s="24"/>
      <c r="L7" s="13"/>
      <c r="M7" s="13"/>
      <c r="N7" s="13"/>
      <c r="O7" s="31"/>
      <c r="P7" s="31"/>
      <c r="Q7" s="31"/>
      <c r="R7" s="31"/>
      <c r="S7" s="31"/>
      <c r="T7" s="31"/>
      <c r="U7" s="31"/>
    </row>
    <row r="8" spans="1:21" ht="20.100000000000001" customHeight="1">
      <c r="A8" s="13"/>
      <c r="B8" s="13"/>
      <c r="C8" s="13"/>
      <c r="D8" s="13"/>
      <c r="E8" s="13"/>
      <c r="F8" s="13"/>
      <c r="G8" s="16"/>
      <c r="H8" s="16"/>
      <c r="I8" s="22" t="str">
        <f t="shared" si="0"/>
        <v/>
      </c>
      <c r="J8" s="13"/>
      <c r="K8" s="24"/>
      <c r="L8" s="13"/>
      <c r="M8" s="13"/>
      <c r="N8" s="13"/>
      <c r="O8" s="31"/>
      <c r="P8" s="31"/>
      <c r="Q8" s="31"/>
      <c r="R8" s="31"/>
      <c r="S8" s="31"/>
      <c r="T8" s="31"/>
      <c r="U8" s="31"/>
    </row>
    <row r="9" spans="1:21" ht="20.100000000000001" customHeight="1">
      <c r="A9" s="13"/>
      <c r="B9" s="13"/>
      <c r="C9" s="13"/>
      <c r="D9" s="13"/>
      <c r="E9" s="13"/>
      <c r="F9" s="13"/>
      <c r="G9" s="16"/>
      <c r="H9" s="16"/>
      <c r="I9" s="22" t="str">
        <f t="shared" si="0"/>
        <v/>
      </c>
      <c r="J9" s="13"/>
      <c r="K9" s="24"/>
      <c r="L9" s="13"/>
      <c r="M9" s="13"/>
      <c r="N9" s="13"/>
      <c r="O9" s="31"/>
      <c r="P9" s="31"/>
      <c r="Q9" s="31"/>
      <c r="R9" s="31"/>
      <c r="S9" s="31"/>
      <c r="T9" s="31"/>
      <c r="U9" s="31"/>
    </row>
    <row r="10" spans="1:21" ht="20.100000000000001" customHeight="1">
      <c r="A10" s="13"/>
      <c r="B10" s="13"/>
      <c r="C10" s="13"/>
      <c r="D10" s="13"/>
      <c r="E10" s="13"/>
      <c r="F10" s="13"/>
      <c r="G10" s="16"/>
      <c r="H10" s="16"/>
      <c r="I10" s="22" t="str">
        <f t="shared" si="0"/>
        <v/>
      </c>
      <c r="J10" s="13"/>
      <c r="K10" s="24"/>
      <c r="L10" s="13"/>
      <c r="M10" s="13"/>
      <c r="N10" s="13"/>
      <c r="O10" s="31"/>
      <c r="P10" s="31"/>
      <c r="Q10" s="31"/>
      <c r="R10" s="31"/>
      <c r="S10" s="31"/>
      <c r="T10" s="31"/>
      <c r="U10" s="31"/>
    </row>
    <row r="11" spans="1:21" ht="20.100000000000001" customHeight="1">
      <c r="A11" s="13"/>
      <c r="B11" s="13"/>
      <c r="C11" s="13"/>
      <c r="D11" s="13"/>
      <c r="E11" s="13"/>
      <c r="F11" s="13"/>
      <c r="G11" s="16"/>
      <c r="H11" s="16"/>
      <c r="I11" s="22" t="str">
        <f t="shared" si="0"/>
        <v/>
      </c>
      <c r="J11" s="13"/>
      <c r="K11" s="24"/>
      <c r="L11" s="13"/>
      <c r="M11" s="13"/>
      <c r="N11" s="13"/>
      <c r="O11" s="31"/>
      <c r="P11" s="31"/>
      <c r="Q11" s="31"/>
      <c r="R11" s="31"/>
      <c r="S11" s="31"/>
      <c r="T11" s="31"/>
      <c r="U11" s="31"/>
    </row>
    <row r="12" spans="1:21" ht="20.100000000000001" customHeight="1">
      <c r="A12" s="13"/>
      <c r="B12" s="13"/>
      <c r="C12" s="13"/>
      <c r="D12" s="13"/>
      <c r="E12" s="13"/>
      <c r="F12" s="13"/>
      <c r="G12" s="16"/>
      <c r="H12" s="16"/>
      <c r="I12" s="22" t="str">
        <f t="shared" si="0"/>
        <v/>
      </c>
      <c r="J12" s="13"/>
      <c r="K12" s="24"/>
      <c r="L12" s="13"/>
      <c r="M12" s="13"/>
      <c r="N12" s="13"/>
      <c r="O12" s="31"/>
      <c r="P12" s="31"/>
      <c r="Q12" s="31"/>
      <c r="R12" s="31"/>
      <c r="S12" s="31"/>
      <c r="T12" s="31"/>
      <c r="U12" s="31"/>
    </row>
    <row r="13" spans="1:21" ht="20.100000000000001" customHeight="1">
      <c r="A13" s="13"/>
      <c r="B13" s="13"/>
      <c r="C13" s="13"/>
      <c r="D13" s="13"/>
      <c r="E13" s="13"/>
      <c r="F13" s="13"/>
      <c r="G13" s="16"/>
      <c r="H13" s="16"/>
      <c r="I13" s="22" t="str">
        <f t="shared" si="0"/>
        <v/>
      </c>
      <c r="J13" s="13"/>
      <c r="K13" s="24"/>
      <c r="L13" s="13"/>
      <c r="M13" s="13"/>
      <c r="N13" s="13"/>
      <c r="O13" s="31"/>
      <c r="P13" s="31"/>
      <c r="Q13" s="31"/>
      <c r="R13" s="31"/>
      <c r="S13" s="31"/>
      <c r="T13" s="31"/>
      <c r="U13" s="31"/>
    </row>
    <row r="14" spans="1:21" ht="20.100000000000001" customHeight="1">
      <c r="A14" s="13"/>
      <c r="B14" s="13"/>
      <c r="C14" s="13"/>
      <c r="D14" s="13"/>
      <c r="E14" s="13"/>
      <c r="F14" s="13"/>
      <c r="G14" s="16"/>
      <c r="H14" s="16"/>
      <c r="I14" s="22" t="str">
        <f t="shared" si="0"/>
        <v/>
      </c>
      <c r="J14" s="13"/>
      <c r="K14" s="24"/>
      <c r="L14" s="13"/>
      <c r="M14" s="13"/>
      <c r="N14" s="13"/>
      <c r="O14" s="31"/>
      <c r="P14" s="31"/>
      <c r="Q14" s="31"/>
      <c r="R14" s="31"/>
      <c r="S14" s="31"/>
      <c r="T14" s="31"/>
      <c r="U14" s="31"/>
    </row>
    <row r="15" spans="1:21" ht="20.100000000000001" customHeight="1">
      <c r="A15" s="13"/>
      <c r="B15" s="13"/>
      <c r="C15" s="13"/>
      <c r="D15" s="13"/>
      <c r="E15" s="13"/>
      <c r="F15" s="13"/>
      <c r="G15" s="16"/>
      <c r="H15" s="16"/>
      <c r="I15" s="22" t="str">
        <f t="shared" si="0"/>
        <v/>
      </c>
      <c r="J15" s="13"/>
      <c r="K15" s="24"/>
      <c r="L15" s="13"/>
      <c r="M15" s="13"/>
      <c r="N15" s="13"/>
      <c r="O15" s="31"/>
      <c r="P15" s="31"/>
      <c r="Q15" s="31"/>
      <c r="R15" s="31"/>
      <c r="S15" s="31"/>
      <c r="T15" s="31"/>
      <c r="U15" s="31"/>
    </row>
    <row r="16" spans="1:21" ht="20.100000000000001" customHeight="1">
      <c r="A16" s="13"/>
      <c r="B16" s="13"/>
      <c r="C16" s="13"/>
      <c r="D16" s="13"/>
      <c r="E16" s="13"/>
      <c r="F16" s="13"/>
      <c r="G16" s="16"/>
      <c r="H16" s="16"/>
      <c r="I16" s="22" t="str">
        <f t="shared" si="0"/>
        <v/>
      </c>
      <c r="J16" s="13"/>
      <c r="K16" s="24"/>
      <c r="L16" s="13"/>
      <c r="M16" s="13"/>
      <c r="N16" s="13"/>
      <c r="O16" s="31"/>
      <c r="P16" s="31"/>
      <c r="Q16" s="31"/>
      <c r="R16" s="31"/>
      <c r="S16" s="31"/>
      <c r="T16" s="31"/>
      <c r="U16" s="31"/>
    </row>
    <row r="17" spans="1:21" ht="20.100000000000001" customHeight="1">
      <c r="A17" s="13"/>
      <c r="B17" s="13"/>
      <c r="C17" s="13"/>
      <c r="D17" s="13"/>
      <c r="E17" s="13"/>
      <c r="F17" s="13"/>
      <c r="G17" s="16"/>
      <c r="H17" s="16"/>
      <c r="I17" s="22" t="str">
        <f t="shared" si="0"/>
        <v/>
      </c>
      <c r="J17" s="13"/>
      <c r="K17" s="24"/>
      <c r="L17" s="13"/>
      <c r="M17" s="13"/>
      <c r="N17" s="13"/>
      <c r="O17" s="31"/>
      <c r="P17" s="31"/>
      <c r="Q17" s="31"/>
      <c r="R17" s="31"/>
      <c r="S17" s="31"/>
      <c r="T17" s="31"/>
      <c r="U17" s="31"/>
    </row>
    <row r="18" spans="1:21" ht="20.100000000000001" customHeight="1">
      <c r="A18" s="13"/>
      <c r="B18" s="13"/>
      <c r="C18" s="13"/>
      <c r="D18" s="13"/>
      <c r="E18" s="13"/>
      <c r="F18" s="13"/>
      <c r="G18" s="16"/>
      <c r="H18" s="16"/>
      <c r="I18" s="22" t="str">
        <f t="shared" si="0"/>
        <v/>
      </c>
      <c r="J18" s="13"/>
      <c r="K18" s="24"/>
      <c r="L18" s="13"/>
      <c r="M18" s="13"/>
      <c r="N18" s="13"/>
      <c r="O18" s="31"/>
      <c r="P18" s="31"/>
      <c r="Q18" s="31"/>
      <c r="R18" s="31"/>
      <c r="S18" s="31"/>
      <c r="T18" s="31"/>
      <c r="U18" s="31"/>
    </row>
    <row r="19" spans="1:21" ht="20.100000000000001" customHeight="1">
      <c r="A19" s="13"/>
      <c r="B19" s="13"/>
      <c r="C19" s="13"/>
      <c r="D19" s="13"/>
      <c r="E19" s="13"/>
      <c r="F19" s="13"/>
      <c r="G19" s="16"/>
      <c r="H19" s="16"/>
      <c r="I19" s="22" t="str">
        <f t="shared" si="0"/>
        <v/>
      </c>
      <c r="J19" s="13"/>
      <c r="K19" s="24"/>
      <c r="L19" s="13"/>
      <c r="M19" s="13"/>
      <c r="N19" s="13"/>
      <c r="O19" s="31"/>
      <c r="P19" s="31"/>
      <c r="Q19" s="31"/>
      <c r="R19" s="31"/>
      <c r="S19" s="31"/>
      <c r="T19" s="31"/>
      <c r="U19" s="31"/>
    </row>
    <row r="20" spans="1:21" ht="20.100000000000001" customHeight="1">
      <c r="A20" s="13"/>
      <c r="B20" s="13"/>
      <c r="C20" s="13"/>
      <c r="D20" s="13"/>
      <c r="E20" s="13"/>
      <c r="F20" s="13"/>
      <c r="G20" s="16"/>
      <c r="H20" s="16"/>
      <c r="I20" s="22" t="str">
        <f t="shared" si="0"/>
        <v/>
      </c>
      <c r="J20" s="13"/>
      <c r="K20" s="24"/>
      <c r="L20" s="13"/>
      <c r="M20" s="13"/>
      <c r="N20" s="13"/>
      <c r="O20" s="31"/>
      <c r="P20" s="31"/>
      <c r="Q20" s="31"/>
      <c r="R20" s="31"/>
      <c r="S20" s="31"/>
      <c r="T20" s="31"/>
      <c r="U20" s="31"/>
    </row>
    <row r="21" spans="1:21" ht="20.100000000000001" customHeight="1">
      <c r="A21" s="13"/>
      <c r="B21" s="13"/>
      <c r="C21" s="13"/>
      <c r="D21" s="13"/>
      <c r="E21" s="13"/>
      <c r="F21" s="13"/>
      <c r="G21" s="16"/>
      <c r="H21" s="16"/>
      <c r="I21" s="22" t="str">
        <f t="shared" si="0"/>
        <v/>
      </c>
      <c r="J21" s="13"/>
      <c r="K21" s="24"/>
      <c r="L21" s="13"/>
      <c r="M21" s="13"/>
      <c r="N21" s="13"/>
      <c r="O21" s="31"/>
      <c r="P21" s="31"/>
      <c r="Q21" s="31"/>
      <c r="R21" s="31"/>
      <c r="S21" s="31"/>
      <c r="T21" s="31"/>
      <c r="U21" s="31"/>
    </row>
    <row r="22" spans="1:21" ht="20.100000000000001" customHeight="1">
      <c r="A22" s="13"/>
      <c r="B22" s="13"/>
      <c r="C22" s="13"/>
      <c r="D22" s="13"/>
      <c r="E22" s="13"/>
      <c r="F22" s="13"/>
      <c r="G22" s="16"/>
      <c r="H22" s="16"/>
      <c r="I22" s="22" t="str">
        <f t="shared" si="0"/>
        <v/>
      </c>
      <c r="J22" s="13"/>
      <c r="K22" s="24"/>
      <c r="L22" s="13"/>
      <c r="M22" s="13"/>
      <c r="N22" s="13"/>
      <c r="O22" s="31"/>
      <c r="P22" s="31"/>
      <c r="Q22" s="31"/>
      <c r="R22" s="31"/>
      <c r="S22" s="31"/>
      <c r="T22" s="31"/>
      <c r="U22" s="31"/>
    </row>
    <row r="23" spans="1:21" ht="20.100000000000001" customHeight="1">
      <c r="A23" s="13"/>
      <c r="B23" s="13"/>
      <c r="C23" s="13"/>
      <c r="D23" s="13"/>
      <c r="E23" s="13"/>
      <c r="F23" s="13"/>
      <c r="G23" s="16"/>
      <c r="H23" s="16"/>
      <c r="I23" s="22" t="str">
        <f t="shared" si="0"/>
        <v/>
      </c>
      <c r="J23" s="13"/>
      <c r="K23" s="24"/>
      <c r="L23" s="13"/>
      <c r="M23" s="13"/>
      <c r="N23" s="13"/>
      <c r="O23" s="31"/>
      <c r="P23" s="31"/>
      <c r="Q23" s="31"/>
      <c r="R23" s="31"/>
      <c r="S23" s="31"/>
      <c r="T23" s="31"/>
      <c r="U23" s="31"/>
    </row>
    <row r="24" spans="1:21" ht="20.100000000000001" customHeight="1">
      <c r="A24" s="13"/>
      <c r="B24" s="13"/>
      <c r="C24" s="13"/>
      <c r="D24" s="13"/>
      <c r="E24" s="13"/>
      <c r="F24" s="13"/>
      <c r="G24" s="16"/>
      <c r="H24" s="16"/>
      <c r="I24" s="22" t="str">
        <f t="shared" si="0"/>
        <v/>
      </c>
      <c r="J24" s="13"/>
      <c r="K24" s="24"/>
      <c r="L24" s="13"/>
      <c r="M24" s="13"/>
      <c r="N24" s="13"/>
      <c r="O24" s="31"/>
      <c r="P24" s="31"/>
      <c r="Q24" s="31"/>
      <c r="R24" s="31"/>
      <c r="S24" s="31"/>
      <c r="T24" s="31"/>
      <c r="U24" s="31"/>
    </row>
    <row r="25" spans="1:21" ht="20.100000000000001" customHeight="1">
      <c r="A25" s="13"/>
      <c r="B25" s="13"/>
      <c r="C25" s="13"/>
      <c r="D25" s="13"/>
      <c r="E25" s="13"/>
      <c r="F25" s="13"/>
      <c r="G25" s="16"/>
      <c r="H25" s="16"/>
      <c r="I25" s="22" t="str">
        <f t="shared" si="0"/>
        <v/>
      </c>
      <c r="J25" s="13"/>
      <c r="K25" s="24"/>
      <c r="L25" s="13"/>
      <c r="M25" s="13"/>
      <c r="N25" s="13"/>
      <c r="O25" s="31"/>
      <c r="P25" s="31"/>
      <c r="Q25" s="31"/>
      <c r="R25" s="31"/>
      <c r="S25" s="31"/>
      <c r="T25" s="31"/>
      <c r="U25" s="31"/>
    </row>
    <row r="26" spans="1:21" ht="20.100000000000001" customHeight="1">
      <c r="A26" s="13"/>
      <c r="B26" s="13"/>
      <c r="C26" s="13"/>
      <c r="D26" s="13"/>
      <c r="E26" s="13"/>
      <c r="F26" s="13"/>
      <c r="G26" s="16"/>
      <c r="H26" s="16"/>
      <c r="I26" s="22" t="str">
        <f t="shared" si="0"/>
        <v/>
      </c>
      <c r="J26" s="13"/>
      <c r="K26" s="24"/>
      <c r="L26" s="13"/>
      <c r="M26" s="13"/>
      <c r="N26" s="13"/>
      <c r="O26" s="31"/>
      <c r="P26" s="31"/>
      <c r="Q26" s="31"/>
      <c r="R26" s="31"/>
      <c r="S26" s="31"/>
      <c r="T26" s="31"/>
      <c r="U26" s="31"/>
    </row>
    <row r="27" spans="1:21" ht="20.100000000000001" customHeight="1">
      <c r="A27" s="13"/>
      <c r="B27" s="13"/>
      <c r="C27" s="13"/>
      <c r="D27" s="13"/>
      <c r="E27" s="13"/>
      <c r="F27" s="13"/>
      <c r="G27" s="16"/>
      <c r="H27" s="16"/>
      <c r="I27" s="22" t="str">
        <f t="shared" si="0"/>
        <v/>
      </c>
      <c r="J27" s="13"/>
      <c r="K27" s="24"/>
      <c r="L27" s="13"/>
      <c r="M27" s="13"/>
      <c r="N27" s="13"/>
      <c r="O27" s="31"/>
      <c r="P27" s="31"/>
      <c r="Q27" s="31"/>
      <c r="R27" s="31"/>
      <c r="S27" s="31"/>
      <c r="T27" s="31"/>
      <c r="U27" s="31"/>
    </row>
    <row r="28" spans="1:21" ht="20.100000000000001" customHeight="1">
      <c r="A28" s="13"/>
      <c r="B28" s="13"/>
      <c r="C28" s="13"/>
      <c r="D28" s="13"/>
      <c r="E28" s="13"/>
      <c r="F28" s="13"/>
      <c r="G28" s="16"/>
      <c r="H28" s="16"/>
      <c r="I28" s="22" t="str">
        <f t="shared" si="0"/>
        <v/>
      </c>
      <c r="J28" s="13"/>
      <c r="K28" s="24"/>
      <c r="L28" s="13"/>
      <c r="M28" s="13"/>
      <c r="N28" s="13"/>
      <c r="O28" s="31"/>
      <c r="P28" s="31"/>
      <c r="Q28" s="31"/>
      <c r="R28" s="31"/>
      <c r="S28" s="31"/>
      <c r="T28" s="31"/>
      <c r="U28" s="31"/>
    </row>
    <row r="29" spans="1:21" ht="20.100000000000001" customHeight="1">
      <c r="A29" s="13"/>
      <c r="B29" s="13"/>
      <c r="C29" s="13"/>
      <c r="D29" s="13"/>
      <c r="E29" s="13"/>
      <c r="F29" s="13"/>
      <c r="G29" s="16"/>
      <c r="H29" s="16"/>
      <c r="I29" s="22" t="str">
        <f t="shared" si="0"/>
        <v/>
      </c>
      <c r="J29" s="13"/>
      <c r="K29" s="24"/>
      <c r="L29" s="13"/>
      <c r="M29" s="13"/>
      <c r="N29" s="13"/>
      <c r="O29" s="31"/>
      <c r="P29" s="31"/>
      <c r="Q29" s="31"/>
      <c r="R29" s="31"/>
      <c r="S29" s="31"/>
      <c r="T29" s="31"/>
      <c r="U29" s="31"/>
    </row>
    <row r="30" spans="1:21" ht="20.100000000000001" customHeight="1">
      <c r="A30" s="13"/>
      <c r="B30" s="13"/>
      <c r="C30" s="13"/>
      <c r="D30" s="13"/>
      <c r="E30" s="13"/>
      <c r="F30" s="13"/>
      <c r="G30" s="16"/>
      <c r="H30" s="16"/>
      <c r="I30" s="22" t="str">
        <f t="shared" si="0"/>
        <v/>
      </c>
      <c r="J30" s="13"/>
      <c r="K30" s="24"/>
      <c r="L30" s="13"/>
      <c r="M30" s="13"/>
      <c r="N30" s="13"/>
      <c r="O30" s="31"/>
      <c r="P30" s="31"/>
      <c r="Q30" s="31"/>
      <c r="R30" s="31"/>
      <c r="S30" s="31"/>
      <c r="T30" s="31"/>
      <c r="U30" s="31"/>
    </row>
    <row r="31" spans="1:21" ht="20.100000000000001" customHeight="1">
      <c r="A31" s="13"/>
      <c r="B31" s="13"/>
      <c r="C31" s="13"/>
      <c r="D31" s="13"/>
      <c r="E31" s="13"/>
      <c r="F31" s="13"/>
      <c r="G31" s="16"/>
      <c r="H31" s="16"/>
      <c r="I31" s="22" t="str">
        <f t="shared" si="0"/>
        <v/>
      </c>
      <c r="J31" s="13"/>
      <c r="K31" s="24"/>
      <c r="L31" s="13"/>
      <c r="M31" s="13"/>
      <c r="N31" s="13"/>
      <c r="O31" s="31"/>
      <c r="P31" s="31"/>
      <c r="Q31" s="31"/>
      <c r="R31" s="31"/>
      <c r="S31" s="31"/>
      <c r="T31" s="31"/>
      <c r="U31" s="31"/>
    </row>
    <row r="32" spans="1:21" ht="20.100000000000001" customHeight="1">
      <c r="A32" s="13"/>
      <c r="B32" s="13"/>
      <c r="C32" s="13"/>
      <c r="D32" s="13"/>
      <c r="E32" s="13"/>
      <c r="F32" s="13"/>
      <c r="G32" s="16"/>
      <c r="H32" s="16"/>
      <c r="I32" s="22" t="str">
        <f t="shared" si="0"/>
        <v/>
      </c>
      <c r="J32" s="13"/>
      <c r="K32" s="24"/>
      <c r="L32" s="13"/>
      <c r="M32" s="13"/>
      <c r="N32" s="13"/>
      <c r="O32" s="31"/>
      <c r="P32" s="31"/>
      <c r="Q32" s="31"/>
      <c r="R32" s="31"/>
      <c r="S32" s="31"/>
      <c r="T32" s="31"/>
      <c r="U32" s="31"/>
    </row>
    <row r="33" spans="1:21" ht="20.100000000000001" customHeight="1">
      <c r="A33" s="13"/>
      <c r="B33" s="13"/>
      <c r="C33" s="13"/>
      <c r="D33" s="13"/>
      <c r="E33" s="13"/>
      <c r="F33" s="13"/>
      <c r="G33" s="16"/>
      <c r="H33" s="16"/>
      <c r="I33" s="22" t="str">
        <f t="shared" si="0"/>
        <v/>
      </c>
      <c r="J33" s="13"/>
      <c r="K33" s="24"/>
      <c r="L33" s="13"/>
      <c r="M33" s="13"/>
      <c r="N33" s="13"/>
      <c r="O33" s="31"/>
      <c r="P33" s="31"/>
      <c r="Q33" s="31"/>
      <c r="R33" s="31"/>
      <c r="S33" s="31"/>
      <c r="T33" s="31"/>
      <c r="U33" s="31"/>
    </row>
    <row r="34" spans="1:21" ht="20.100000000000001" customHeight="1">
      <c r="A34" s="13"/>
      <c r="B34" s="13"/>
      <c r="C34" s="13"/>
      <c r="D34" s="13"/>
      <c r="E34" s="13"/>
      <c r="F34" s="13"/>
      <c r="G34" s="16"/>
      <c r="H34" s="16"/>
      <c r="I34" s="22" t="str">
        <f t="shared" si="0"/>
        <v/>
      </c>
      <c r="J34" s="13"/>
      <c r="K34" s="24"/>
      <c r="L34" s="13"/>
      <c r="M34" s="13"/>
      <c r="N34" s="13"/>
      <c r="O34" s="31"/>
      <c r="P34" s="31"/>
      <c r="Q34" s="31"/>
      <c r="R34" s="31"/>
      <c r="S34" s="31"/>
      <c r="T34" s="31"/>
      <c r="U34" s="31"/>
    </row>
    <row r="35" spans="1:21" ht="20.100000000000001" customHeight="1">
      <c r="A35" s="13"/>
      <c r="B35" s="13"/>
      <c r="C35" s="13"/>
      <c r="D35" s="13"/>
      <c r="E35" s="13"/>
      <c r="F35" s="13"/>
      <c r="G35" s="16"/>
      <c r="H35" s="16"/>
      <c r="I35" s="22" t="str">
        <f t="shared" si="0"/>
        <v/>
      </c>
      <c r="J35" s="13"/>
      <c r="K35" s="24"/>
      <c r="L35" s="13"/>
      <c r="M35" s="13"/>
      <c r="N35" s="13"/>
      <c r="O35" s="31"/>
      <c r="P35" s="31"/>
      <c r="Q35" s="31"/>
      <c r="R35" s="31"/>
      <c r="S35" s="31"/>
      <c r="T35" s="31"/>
      <c r="U35" s="31"/>
    </row>
    <row r="36" spans="1:21" ht="20.100000000000001" customHeight="1">
      <c r="A36" s="13"/>
      <c r="B36" s="13"/>
      <c r="C36" s="13"/>
      <c r="D36" s="13"/>
      <c r="E36" s="13"/>
      <c r="F36" s="13"/>
      <c r="G36" s="16"/>
      <c r="H36" s="16"/>
      <c r="I36" s="22" t="str">
        <f t="shared" si="0"/>
        <v/>
      </c>
      <c r="J36" s="13"/>
      <c r="K36" s="24"/>
      <c r="L36" s="13"/>
      <c r="M36" s="13"/>
      <c r="N36" s="13"/>
      <c r="O36" s="31"/>
      <c r="P36" s="31"/>
      <c r="Q36" s="31"/>
      <c r="R36" s="31"/>
      <c r="S36" s="31"/>
      <c r="T36" s="31"/>
      <c r="U36" s="31"/>
    </row>
    <row r="37" spans="1:21" ht="20.100000000000001" customHeight="1">
      <c r="A37" s="13"/>
      <c r="B37" s="13"/>
      <c r="C37" s="13"/>
      <c r="D37" s="13"/>
      <c r="E37" s="13"/>
      <c r="F37" s="13"/>
      <c r="G37" s="16"/>
      <c r="H37" s="16"/>
      <c r="I37" s="22" t="str">
        <f t="shared" si="0"/>
        <v/>
      </c>
      <c r="J37" s="13"/>
      <c r="K37" s="24"/>
      <c r="L37" s="13"/>
      <c r="M37" s="13"/>
      <c r="N37" s="13"/>
      <c r="O37" s="31"/>
      <c r="P37" s="31"/>
      <c r="Q37" s="31"/>
      <c r="R37" s="31"/>
      <c r="S37" s="31"/>
      <c r="T37" s="31"/>
      <c r="U37" s="31"/>
    </row>
    <row r="38" spans="1:21" ht="20.100000000000001" customHeight="1">
      <c r="A38" s="13"/>
      <c r="B38" s="13"/>
      <c r="C38" s="13"/>
      <c r="D38" s="13"/>
      <c r="E38" s="13"/>
      <c r="F38" s="13"/>
      <c r="G38" s="16"/>
      <c r="H38" s="16"/>
      <c r="I38" s="22" t="str">
        <f t="shared" ref="I38:I69" si="1">IF(A38="","",IF(OR(G38="",H38=""),"",G38*H38))</f>
        <v/>
      </c>
      <c r="J38" s="13"/>
      <c r="K38" s="24"/>
      <c r="L38" s="13"/>
      <c r="M38" s="13"/>
      <c r="N38" s="13"/>
      <c r="O38" s="31"/>
      <c r="P38" s="31"/>
      <c r="Q38" s="31"/>
      <c r="R38" s="31"/>
      <c r="S38" s="31"/>
      <c r="T38" s="31"/>
      <c r="U38" s="31"/>
    </row>
    <row r="39" spans="1:21" ht="20.100000000000001" customHeight="1">
      <c r="A39" s="13"/>
      <c r="B39" s="13"/>
      <c r="C39" s="13"/>
      <c r="D39" s="13"/>
      <c r="E39" s="13"/>
      <c r="F39" s="13"/>
      <c r="G39" s="16"/>
      <c r="H39" s="16"/>
      <c r="I39" s="22" t="str">
        <f t="shared" si="1"/>
        <v/>
      </c>
      <c r="J39" s="13"/>
      <c r="K39" s="24"/>
      <c r="L39" s="13"/>
      <c r="M39" s="13"/>
      <c r="N39" s="13"/>
      <c r="O39" s="31"/>
      <c r="P39" s="31"/>
      <c r="Q39" s="31"/>
      <c r="R39" s="31"/>
      <c r="S39" s="31"/>
      <c r="T39" s="31"/>
      <c r="U39" s="31"/>
    </row>
    <row r="40" spans="1:21" ht="20.100000000000001" customHeight="1">
      <c r="A40" s="13"/>
      <c r="B40" s="13"/>
      <c r="C40" s="13"/>
      <c r="D40" s="13"/>
      <c r="E40" s="13"/>
      <c r="F40" s="13"/>
      <c r="G40" s="16"/>
      <c r="H40" s="16"/>
      <c r="I40" s="22" t="str">
        <f t="shared" si="1"/>
        <v/>
      </c>
      <c r="J40" s="13"/>
      <c r="K40" s="24"/>
      <c r="L40" s="13"/>
      <c r="M40" s="13"/>
      <c r="N40" s="13"/>
      <c r="O40" s="31"/>
      <c r="P40" s="31"/>
      <c r="Q40" s="31"/>
      <c r="R40" s="31"/>
      <c r="S40" s="31"/>
      <c r="T40" s="31"/>
      <c r="U40" s="31"/>
    </row>
    <row r="41" spans="1:21" ht="20.100000000000001" customHeight="1">
      <c r="A41" s="13"/>
      <c r="B41" s="13"/>
      <c r="C41" s="13"/>
      <c r="D41" s="13"/>
      <c r="E41" s="13"/>
      <c r="F41" s="13"/>
      <c r="G41" s="16"/>
      <c r="H41" s="16"/>
      <c r="I41" s="22" t="str">
        <f t="shared" si="1"/>
        <v/>
      </c>
      <c r="J41" s="13"/>
      <c r="K41" s="24"/>
      <c r="L41" s="13"/>
      <c r="M41" s="13"/>
      <c r="N41" s="13"/>
      <c r="O41" s="31"/>
      <c r="P41" s="31"/>
      <c r="Q41" s="31"/>
      <c r="R41" s="31"/>
      <c r="S41" s="31"/>
      <c r="T41" s="31"/>
      <c r="U41" s="31"/>
    </row>
    <row r="42" spans="1:21" ht="20.100000000000001" customHeight="1">
      <c r="A42" s="13"/>
      <c r="B42" s="13"/>
      <c r="C42" s="13"/>
      <c r="D42" s="13"/>
      <c r="E42" s="13"/>
      <c r="F42" s="13"/>
      <c r="G42" s="16"/>
      <c r="H42" s="16"/>
      <c r="I42" s="22" t="str">
        <f t="shared" si="1"/>
        <v/>
      </c>
      <c r="J42" s="13"/>
      <c r="K42" s="24"/>
      <c r="L42" s="13"/>
      <c r="M42" s="13"/>
      <c r="N42" s="13"/>
      <c r="O42" s="31"/>
      <c r="P42" s="31"/>
      <c r="Q42" s="31"/>
      <c r="R42" s="31"/>
      <c r="S42" s="31"/>
      <c r="T42" s="31"/>
      <c r="U42" s="31"/>
    </row>
    <row r="43" spans="1:21" ht="20.100000000000001" customHeight="1">
      <c r="A43" s="13"/>
      <c r="B43" s="13"/>
      <c r="C43" s="13"/>
      <c r="D43" s="13"/>
      <c r="E43" s="13"/>
      <c r="F43" s="13"/>
      <c r="G43" s="16"/>
      <c r="H43" s="16"/>
      <c r="I43" s="22" t="str">
        <f t="shared" si="1"/>
        <v/>
      </c>
      <c r="J43" s="13"/>
      <c r="K43" s="24"/>
      <c r="L43" s="13"/>
      <c r="M43" s="13"/>
      <c r="N43" s="13"/>
      <c r="O43" s="31"/>
      <c r="P43" s="31"/>
      <c r="Q43" s="31"/>
      <c r="R43" s="31"/>
      <c r="S43" s="31"/>
      <c r="T43" s="31"/>
      <c r="U43" s="31"/>
    </row>
    <row r="44" spans="1:21" ht="20.100000000000001" customHeight="1">
      <c r="A44" s="13"/>
      <c r="B44" s="13"/>
      <c r="C44" s="13"/>
      <c r="D44" s="13"/>
      <c r="E44" s="13"/>
      <c r="F44" s="13"/>
      <c r="G44" s="16"/>
      <c r="H44" s="16"/>
      <c r="I44" s="22" t="str">
        <f t="shared" si="1"/>
        <v/>
      </c>
      <c r="J44" s="13"/>
      <c r="K44" s="24"/>
      <c r="L44" s="13"/>
      <c r="M44" s="13"/>
      <c r="N44" s="13"/>
      <c r="O44" s="31"/>
      <c r="P44" s="31"/>
      <c r="Q44" s="31"/>
      <c r="R44" s="31"/>
      <c r="S44" s="31"/>
      <c r="T44" s="31"/>
      <c r="U44" s="31"/>
    </row>
    <row r="45" spans="1:21" ht="20.100000000000001" customHeight="1">
      <c r="A45" s="13"/>
      <c r="B45" s="13"/>
      <c r="C45" s="13"/>
      <c r="D45" s="13"/>
      <c r="E45" s="13"/>
      <c r="F45" s="13"/>
      <c r="G45" s="16"/>
      <c r="H45" s="16"/>
      <c r="I45" s="22" t="str">
        <f t="shared" si="1"/>
        <v/>
      </c>
      <c r="J45" s="13"/>
      <c r="K45" s="24"/>
      <c r="L45" s="13"/>
      <c r="M45" s="13"/>
      <c r="N45" s="13"/>
      <c r="O45" s="31"/>
      <c r="P45" s="31"/>
      <c r="Q45" s="31"/>
      <c r="R45" s="31"/>
      <c r="S45" s="31"/>
      <c r="T45" s="31"/>
      <c r="U45" s="31"/>
    </row>
    <row r="46" spans="1:21" ht="20.100000000000001" customHeight="1">
      <c r="A46" s="13"/>
      <c r="B46" s="13"/>
      <c r="C46" s="13"/>
      <c r="D46" s="13"/>
      <c r="E46" s="13"/>
      <c r="F46" s="13"/>
      <c r="G46" s="16"/>
      <c r="H46" s="16"/>
      <c r="I46" s="22" t="str">
        <f t="shared" si="1"/>
        <v/>
      </c>
      <c r="J46" s="13"/>
      <c r="K46" s="24"/>
      <c r="L46" s="13"/>
      <c r="M46" s="13"/>
      <c r="N46" s="13"/>
      <c r="O46" s="31"/>
      <c r="P46" s="31"/>
      <c r="Q46" s="31"/>
      <c r="R46" s="31"/>
      <c r="S46" s="31"/>
      <c r="T46" s="31"/>
      <c r="U46" s="31"/>
    </row>
    <row r="47" spans="1:21" ht="20.100000000000001" customHeight="1">
      <c r="A47" s="13"/>
      <c r="B47" s="13"/>
      <c r="C47" s="13"/>
      <c r="D47" s="13"/>
      <c r="E47" s="13"/>
      <c r="F47" s="13"/>
      <c r="G47" s="16"/>
      <c r="H47" s="16"/>
      <c r="I47" s="22" t="str">
        <f t="shared" si="1"/>
        <v/>
      </c>
      <c r="J47" s="13"/>
      <c r="K47" s="24"/>
      <c r="L47" s="13"/>
      <c r="M47" s="13"/>
      <c r="N47" s="13"/>
      <c r="O47" s="31"/>
      <c r="P47" s="31"/>
      <c r="Q47" s="31"/>
      <c r="R47" s="31"/>
      <c r="S47" s="31"/>
      <c r="T47" s="31"/>
      <c r="U47" s="31"/>
    </row>
    <row r="48" spans="1:21" ht="20.100000000000001" customHeight="1">
      <c r="A48" s="13"/>
      <c r="B48" s="13"/>
      <c r="C48" s="13"/>
      <c r="D48" s="13"/>
      <c r="E48" s="13"/>
      <c r="F48" s="13"/>
      <c r="G48" s="16"/>
      <c r="H48" s="16"/>
      <c r="I48" s="22" t="str">
        <f t="shared" si="1"/>
        <v/>
      </c>
      <c r="J48" s="13"/>
      <c r="K48" s="24"/>
      <c r="L48" s="13"/>
      <c r="M48" s="13"/>
      <c r="N48" s="13"/>
      <c r="O48" s="31"/>
      <c r="P48" s="31"/>
      <c r="Q48" s="31"/>
      <c r="R48" s="31"/>
      <c r="S48" s="31"/>
      <c r="T48" s="31"/>
      <c r="U48" s="31"/>
    </row>
    <row r="49" spans="1:21" ht="20.100000000000001" customHeight="1">
      <c r="A49" s="13"/>
      <c r="B49" s="13"/>
      <c r="C49" s="13"/>
      <c r="D49" s="13"/>
      <c r="E49" s="13"/>
      <c r="F49" s="13"/>
      <c r="G49" s="16"/>
      <c r="H49" s="16"/>
      <c r="I49" s="22" t="str">
        <f t="shared" si="1"/>
        <v/>
      </c>
      <c r="J49" s="13"/>
      <c r="K49" s="24"/>
      <c r="L49" s="13"/>
      <c r="M49" s="13"/>
      <c r="N49" s="13"/>
      <c r="O49" s="31"/>
      <c r="P49" s="31"/>
      <c r="Q49" s="31"/>
      <c r="R49" s="31"/>
      <c r="S49" s="31"/>
      <c r="T49" s="31"/>
      <c r="U49" s="31"/>
    </row>
    <row r="50" spans="1:21" ht="20.100000000000001" customHeight="1">
      <c r="A50" s="13"/>
      <c r="B50" s="13"/>
      <c r="C50" s="13"/>
      <c r="D50" s="13"/>
      <c r="E50" s="13"/>
      <c r="F50" s="13"/>
      <c r="G50" s="16"/>
      <c r="H50" s="16"/>
      <c r="I50" s="22" t="str">
        <f t="shared" si="1"/>
        <v/>
      </c>
      <c r="J50" s="13"/>
      <c r="K50" s="24"/>
      <c r="L50" s="13"/>
      <c r="M50" s="13"/>
      <c r="N50" s="13"/>
      <c r="O50" s="31"/>
      <c r="P50" s="31"/>
      <c r="Q50" s="31"/>
      <c r="R50" s="31"/>
      <c r="S50" s="31"/>
      <c r="T50" s="31"/>
      <c r="U50" s="31"/>
    </row>
    <row r="51" spans="1:21" ht="20.100000000000001" customHeight="1">
      <c r="A51" s="13"/>
      <c r="B51" s="13"/>
      <c r="C51" s="13"/>
      <c r="D51" s="13"/>
      <c r="E51" s="13"/>
      <c r="F51" s="13"/>
      <c r="G51" s="16"/>
      <c r="H51" s="16"/>
      <c r="I51" s="22" t="str">
        <f t="shared" si="1"/>
        <v/>
      </c>
      <c r="J51" s="13"/>
      <c r="K51" s="24"/>
      <c r="L51" s="13"/>
      <c r="M51" s="13"/>
      <c r="N51" s="13"/>
      <c r="O51" s="31"/>
      <c r="P51" s="31"/>
      <c r="Q51" s="31"/>
      <c r="R51" s="31"/>
      <c r="S51" s="31"/>
      <c r="T51" s="31"/>
      <c r="U51" s="31"/>
    </row>
    <row r="52" spans="1:21" ht="20.100000000000001" customHeight="1">
      <c r="A52" s="13"/>
      <c r="B52" s="13"/>
      <c r="C52" s="13"/>
      <c r="D52" s="13"/>
      <c r="E52" s="13"/>
      <c r="F52" s="13"/>
      <c r="G52" s="16"/>
      <c r="H52" s="16"/>
      <c r="I52" s="22" t="str">
        <f t="shared" si="1"/>
        <v/>
      </c>
      <c r="J52" s="13"/>
      <c r="K52" s="24"/>
      <c r="L52" s="13"/>
      <c r="M52" s="13"/>
      <c r="N52" s="13"/>
      <c r="O52" s="31"/>
      <c r="P52" s="31"/>
      <c r="Q52" s="31"/>
      <c r="R52" s="31"/>
      <c r="S52" s="31"/>
      <c r="T52" s="31"/>
      <c r="U52" s="31"/>
    </row>
    <row r="53" spans="1:21" ht="20.100000000000001" customHeight="1">
      <c r="A53" s="13"/>
      <c r="B53" s="13"/>
      <c r="C53" s="13"/>
      <c r="D53" s="13"/>
      <c r="E53" s="13"/>
      <c r="F53" s="13"/>
      <c r="G53" s="16"/>
      <c r="H53" s="16"/>
      <c r="I53" s="22" t="str">
        <f t="shared" si="1"/>
        <v/>
      </c>
      <c r="J53" s="13"/>
      <c r="K53" s="24"/>
      <c r="L53" s="13"/>
      <c r="M53" s="13"/>
      <c r="N53" s="13"/>
      <c r="O53" s="31"/>
      <c r="P53" s="31"/>
      <c r="Q53" s="31"/>
      <c r="R53" s="31"/>
      <c r="S53" s="31"/>
      <c r="T53" s="31"/>
      <c r="U53" s="31"/>
    </row>
    <row r="54" spans="1:21" ht="20.100000000000001" customHeight="1">
      <c r="A54" s="13"/>
      <c r="B54" s="13"/>
      <c r="C54" s="13"/>
      <c r="D54" s="13"/>
      <c r="E54" s="13"/>
      <c r="F54" s="13"/>
      <c r="G54" s="16"/>
      <c r="H54" s="16"/>
      <c r="I54" s="22" t="str">
        <f t="shared" si="1"/>
        <v/>
      </c>
      <c r="J54" s="13"/>
      <c r="K54" s="24"/>
      <c r="L54" s="13"/>
      <c r="M54" s="13"/>
      <c r="N54" s="13"/>
      <c r="O54" s="31"/>
      <c r="P54" s="31"/>
      <c r="Q54" s="31"/>
      <c r="R54" s="31"/>
      <c r="S54" s="31"/>
      <c r="T54" s="31"/>
      <c r="U54" s="31"/>
    </row>
    <row r="55" spans="1:21" ht="20.100000000000001" customHeight="1">
      <c r="A55" s="13"/>
      <c r="B55" s="13"/>
      <c r="C55" s="13"/>
      <c r="D55" s="13"/>
      <c r="E55" s="13"/>
      <c r="F55" s="13"/>
      <c r="G55" s="16"/>
      <c r="H55" s="16"/>
      <c r="I55" s="22" t="str">
        <f t="shared" si="1"/>
        <v/>
      </c>
      <c r="J55" s="13"/>
      <c r="K55" s="24"/>
      <c r="L55" s="13"/>
      <c r="M55" s="13"/>
      <c r="N55" s="13"/>
      <c r="O55" s="31"/>
      <c r="P55" s="31"/>
      <c r="Q55" s="31"/>
      <c r="R55" s="31"/>
      <c r="S55" s="31"/>
      <c r="T55" s="31"/>
      <c r="U55" s="31"/>
    </row>
    <row r="56" spans="1:21" ht="20.100000000000001" customHeight="1">
      <c r="A56" s="13"/>
      <c r="B56" s="13"/>
      <c r="C56" s="13"/>
      <c r="D56" s="13"/>
      <c r="E56" s="13"/>
      <c r="F56" s="13"/>
      <c r="G56" s="16"/>
      <c r="H56" s="16"/>
      <c r="I56" s="22" t="str">
        <f t="shared" si="1"/>
        <v/>
      </c>
      <c r="J56" s="13"/>
      <c r="K56" s="24"/>
      <c r="L56" s="13"/>
      <c r="M56" s="13"/>
      <c r="N56" s="13"/>
      <c r="O56" s="31"/>
      <c r="P56" s="31"/>
      <c r="Q56" s="31"/>
      <c r="R56" s="31"/>
      <c r="S56" s="31"/>
      <c r="T56" s="31"/>
      <c r="U56" s="31"/>
    </row>
    <row r="57" spans="1:21" ht="20.100000000000001" customHeight="1">
      <c r="A57" s="13"/>
      <c r="B57" s="13"/>
      <c r="C57" s="13"/>
      <c r="D57" s="13"/>
      <c r="E57" s="13"/>
      <c r="F57" s="13"/>
      <c r="G57" s="16"/>
      <c r="H57" s="16"/>
      <c r="I57" s="22" t="str">
        <f t="shared" si="1"/>
        <v/>
      </c>
      <c r="J57" s="13"/>
      <c r="K57" s="24"/>
      <c r="L57" s="13"/>
      <c r="M57" s="13"/>
      <c r="N57" s="13"/>
      <c r="O57" s="31"/>
      <c r="P57" s="31"/>
      <c r="Q57" s="31"/>
      <c r="R57" s="31"/>
      <c r="S57" s="31"/>
      <c r="T57" s="31"/>
      <c r="U57" s="31"/>
    </row>
    <row r="58" spans="1:21" ht="20.100000000000001" customHeight="1">
      <c r="A58" s="13"/>
      <c r="B58" s="13"/>
      <c r="C58" s="13"/>
      <c r="D58" s="13"/>
      <c r="E58" s="13"/>
      <c r="F58" s="13"/>
      <c r="G58" s="16"/>
      <c r="H58" s="16"/>
      <c r="I58" s="22" t="str">
        <f t="shared" si="1"/>
        <v/>
      </c>
      <c r="J58" s="13"/>
      <c r="K58" s="24"/>
      <c r="L58" s="13"/>
      <c r="M58" s="13"/>
      <c r="N58" s="13"/>
      <c r="O58" s="31"/>
      <c r="P58" s="31"/>
      <c r="Q58" s="31"/>
      <c r="R58" s="31"/>
      <c r="S58" s="31"/>
      <c r="T58" s="31"/>
      <c r="U58" s="31"/>
    </row>
    <row r="59" spans="1:21" ht="20.100000000000001" customHeight="1">
      <c r="A59" s="13"/>
      <c r="B59" s="13"/>
      <c r="C59" s="13"/>
      <c r="D59" s="13"/>
      <c r="E59" s="13"/>
      <c r="F59" s="13"/>
      <c r="G59" s="16"/>
      <c r="H59" s="16"/>
      <c r="I59" s="22" t="str">
        <f t="shared" si="1"/>
        <v/>
      </c>
      <c r="J59" s="13"/>
      <c r="K59" s="24"/>
      <c r="L59" s="13"/>
      <c r="M59" s="13"/>
      <c r="N59" s="13"/>
      <c r="O59" s="31"/>
      <c r="P59" s="31"/>
      <c r="Q59" s="31"/>
      <c r="R59" s="31"/>
      <c r="S59" s="31"/>
      <c r="T59" s="31"/>
      <c r="U59" s="31"/>
    </row>
    <row r="60" spans="1:21" ht="20.100000000000001" customHeight="1">
      <c r="A60" s="13"/>
      <c r="B60" s="13"/>
      <c r="C60" s="13"/>
      <c r="D60" s="13"/>
      <c r="E60" s="13"/>
      <c r="F60" s="13"/>
      <c r="G60" s="16"/>
      <c r="H60" s="16"/>
      <c r="I60" s="22" t="str">
        <f t="shared" si="1"/>
        <v/>
      </c>
      <c r="J60" s="13"/>
      <c r="K60" s="24"/>
      <c r="L60" s="13"/>
      <c r="M60" s="13"/>
      <c r="N60" s="13"/>
      <c r="O60" s="31"/>
      <c r="P60" s="31"/>
      <c r="Q60" s="31"/>
      <c r="R60" s="31"/>
      <c r="S60" s="31"/>
      <c r="T60" s="31"/>
      <c r="U60" s="31"/>
    </row>
    <row r="61" spans="1:21" ht="20.100000000000001" customHeight="1">
      <c r="A61" s="13"/>
      <c r="B61" s="13"/>
      <c r="C61" s="13"/>
      <c r="D61" s="13"/>
      <c r="E61" s="13"/>
      <c r="F61" s="13"/>
      <c r="G61" s="16"/>
      <c r="H61" s="16"/>
      <c r="I61" s="22" t="str">
        <f t="shared" si="1"/>
        <v/>
      </c>
      <c r="J61" s="13"/>
      <c r="K61" s="24"/>
      <c r="L61" s="13"/>
      <c r="M61" s="13"/>
      <c r="N61" s="13"/>
      <c r="O61" s="31"/>
      <c r="P61" s="31"/>
      <c r="Q61" s="31"/>
      <c r="R61" s="31"/>
      <c r="S61" s="31"/>
      <c r="T61" s="31"/>
      <c r="U61" s="31"/>
    </row>
    <row r="62" spans="1:21" ht="20.100000000000001" customHeight="1">
      <c r="A62" s="13"/>
      <c r="B62" s="13"/>
      <c r="C62" s="13"/>
      <c r="D62" s="13"/>
      <c r="E62" s="13"/>
      <c r="F62" s="13"/>
      <c r="G62" s="16"/>
      <c r="H62" s="16"/>
      <c r="I62" s="22" t="str">
        <f t="shared" si="1"/>
        <v/>
      </c>
      <c r="J62" s="13"/>
      <c r="K62" s="24"/>
      <c r="L62" s="13"/>
      <c r="M62" s="13"/>
      <c r="N62" s="13"/>
      <c r="O62" s="31"/>
      <c r="P62" s="31"/>
      <c r="Q62" s="31"/>
      <c r="R62" s="31"/>
      <c r="S62" s="31"/>
      <c r="T62" s="31"/>
      <c r="U62" s="31"/>
    </row>
    <row r="63" spans="1:21" ht="20.100000000000001" customHeight="1">
      <c r="A63" s="13"/>
      <c r="B63" s="13"/>
      <c r="C63" s="13"/>
      <c r="D63" s="13"/>
      <c r="E63" s="13"/>
      <c r="F63" s="13"/>
      <c r="G63" s="16"/>
      <c r="H63" s="16"/>
      <c r="I63" s="22" t="str">
        <f t="shared" si="1"/>
        <v/>
      </c>
      <c r="J63" s="13"/>
      <c r="K63" s="24"/>
      <c r="L63" s="13"/>
      <c r="M63" s="13"/>
      <c r="N63" s="13"/>
      <c r="O63" s="31"/>
      <c r="P63" s="31"/>
      <c r="Q63" s="31"/>
      <c r="R63" s="31"/>
      <c r="S63" s="31"/>
      <c r="T63" s="31"/>
      <c r="U63" s="31"/>
    </row>
    <row r="64" spans="1:21" ht="20.100000000000001" customHeight="1">
      <c r="A64" s="13"/>
      <c r="B64" s="13"/>
      <c r="C64" s="13"/>
      <c r="D64" s="13"/>
      <c r="E64" s="13"/>
      <c r="F64" s="13"/>
      <c r="G64" s="16"/>
      <c r="H64" s="16"/>
      <c r="I64" s="22" t="str">
        <f t="shared" si="1"/>
        <v/>
      </c>
      <c r="J64" s="13"/>
      <c r="K64" s="24"/>
      <c r="L64" s="13"/>
      <c r="M64" s="13"/>
      <c r="N64" s="13"/>
      <c r="O64" s="31"/>
      <c r="P64" s="31"/>
      <c r="Q64" s="31"/>
      <c r="R64" s="31"/>
      <c r="S64" s="31"/>
      <c r="T64" s="31"/>
      <c r="U64" s="31"/>
    </row>
    <row r="65" spans="1:21" ht="20.100000000000001" customHeight="1">
      <c r="A65" s="13"/>
      <c r="B65" s="13"/>
      <c r="C65" s="13"/>
      <c r="D65" s="13"/>
      <c r="E65" s="13"/>
      <c r="F65" s="13"/>
      <c r="G65" s="16"/>
      <c r="H65" s="16"/>
      <c r="I65" s="22" t="str">
        <f t="shared" si="1"/>
        <v/>
      </c>
      <c r="J65" s="13"/>
      <c r="K65" s="24"/>
      <c r="L65" s="13"/>
      <c r="M65" s="13"/>
      <c r="N65" s="13"/>
      <c r="O65" s="31"/>
      <c r="P65" s="31"/>
      <c r="Q65" s="31"/>
      <c r="R65" s="31"/>
      <c r="S65" s="31"/>
      <c r="T65" s="31"/>
      <c r="U65" s="31"/>
    </row>
    <row r="66" spans="1:21" ht="20.100000000000001" customHeight="1">
      <c r="A66" s="13"/>
      <c r="B66" s="13"/>
      <c r="C66" s="13"/>
      <c r="D66" s="13"/>
      <c r="E66" s="13"/>
      <c r="F66" s="13"/>
      <c r="G66" s="16"/>
      <c r="H66" s="16"/>
      <c r="I66" s="22" t="str">
        <f t="shared" si="1"/>
        <v/>
      </c>
      <c r="J66" s="13"/>
      <c r="K66" s="24"/>
      <c r="L66" s="13"/>
      <c r="M66" s="13"/>
      <c r="N66" s="13"/>
      <c r="O66" s="31"/>
      <c r="P66" s="31"/>
      <c r="Q66" s="31"/>
      <c r="R66" s="31"/>
      <c r="S66" s="31"/>
      <c r="T66" s="31"/>
      <c r="U66" s="31"/>
    </row>
    <row r="67" spans="1:21" ht="20.100000000000001" customHeight="1">
      <c r="A67" s="13"/>
      <c r="B67" s="13"/>
      <c r="C67" s="13"/>
      <c r="D67" s="13"/>
      <c r="E67" s="13"/>
      <c r="F67" s="13"/>
      <c r="G67" s="16"/>
      <c r="H67" s="16"/>
      <c r="I67" s="22" t="str">
        <f t="shared" si="1"/>
        <v/>
      </c>
      <c r="J67" s="13"/>
      <c r="K67" s="24"/>
      <c r="L67" s="13"/>
      <c r="M67" s="13"/>
      <c r="N67" s="13"/>
      <c r="O67" s="31"/>
      <c r="P67" s="31"/>
      <c r="Q67" s="31"/>
      <c r="R67" s="31"/>
      <c r="S67" s="31"/>
      <c r="T67" s="31"/>
      <c r="U67" s="31"/>
    </row>
    <row r="68" spans="1:21" ht="20.100000000000001" customHeight="1">
      <c r="A68" s="13"/>
      <c r="B68" s="13"/>
      <c r="C68" s="13"/>
      <c r="D68" s="13"/>
      <c r="E68" s="13"/>
      <c r="F68" s="13"/>
      <c r="G68" s="16"/>
      <c r="H68" s="16"/>
      <c r="I68" s="22" t="str">
        <f t="shared" si="1"/>
        <v/>
      </c>
      <c r="J68" s="13"/>
      <c r="K68" s="24"/>
      <c r="L68" s="13"/>
      <c r="M68" s="13"/>
      <c r="N68" s="13"/>
      <c r="O68" s="31"/>
      <c r="P68" s="31"/>
      <c r="Q68" s="31"/>
      <c r="R68" s="31"/>
      <c r="S68" s="31"/>
      <c r="T68" s="31"/>
      <c r="U68" s="31"/>
    </row>
    <row r="69" spans="1:21" ht="20.100000000000001" customHeight="1">
      <c r="A69" s="13"/>
      <c r="B69" s="13"/>
      <c r="C69" s="13"/>
      <c r="D69" s="13"/>
      <c r="E69" s="13"/>
      <c r="F69" s="13"/>
      <c r="G69" s="16"/>
      <c r="H69" s="16"/>
      <c r="I69" s="22" t="str">
        <f t="shared" si="1"/>
        <v/>
      </c>
      <c r="J69" s="13"/>
      <c r="K69" s="24"/>
      <c r="L69" s="13"/>
      <c r="M69" s="13"/>
      <c r="N69" s="13"/>
      <c r="O69" s="31"/>
      <c r="P69" s="31"/>
      <c r="Q69" s="31"/>
      <c r="R69" s="31"/>
      <c r="S69" s="31"/>
      <c r="T69" s="31"/>
      <c r="U69" s="31"/>
    </row>
    <row r="70" spans="1:21" ht="20.100000000000001" customHeight="1">
      <c r="A70" s="13"/>
      <c r="B70" s="13"/>
      <c r="C70" s="13"/>
      <c r="D70" s="13"/>
      <c r="E70" s="13"/>
      <c r="F70" s="13"/>
      <c r="G70" s="16"/>
      <c r="H70" s="16"/>
      <c r="I70" s="22" t="str">
        <f t="shared" ref="I70:I101" si="2">IF(A70="","",IF(OR(G70="",H70=""),"",G70*H70))</f>
        <v/>
      </c>
      <c r="J70" s="13"/>
      <c r="K70" s="24"/>
      <c r="L70" s="13"/>
      <c r="M70" s="13"/>
      <c r="N70" s="13"/>
      <c r="O70" s="31"/>
      <c r="P70" s="31"/>
      <c r="Q70" s="31"/>
      <c r="R70" s="31"/>
      <c r="S70" s="31"/>
      <c r="T70" s="31"/>
      <c r="U70" s="31"/>
    </row>
    <row r="71" spans="1:21" ht="20.100000000000001" customHeight="1">
      <c r="A71" s="13"/>
      <c r="B71" s="13"/>
      <c r="C71" s="13"/>
      <c r="D71" s="13"/>
      <c r="E71" s="13"/>
      <c r="F71" s="13"/>
      <c r="G71" s="16"/>
      <c r="H71" s="16"/>
      <c r="I71" s="22" t="str">
        <f t="shared" si="2"/>
        <v/>
      </c>
      <c r="J71" s="13"/>
      <c r="K71" s="24"/>
      <c r="L71" s="13"/>
      <c r="M71" s="13"/>
      <c r="N71" s="13"/>
      <c r="O71" s="31"/>
      <c r="P71" s="31"/>
      <c r="Q71" s="31"/>
      <c r="R71" s="31"/>
      <c r="S71" s="31"/>
      <c r="T71" s="31"/>
      <c r="U71" s="31"/>
    </row>
    <row r="72" spans="1:21" ht="20.100000000000001" customHeight="1">
      <c r="A72" s="13"/>
      <c r="B72" s="13"/>
      <c r="C72" s="13"/>
      <c r="D72" s="13"/>
      <c r="E72" s="13"/>
      <c r="F72" s="13"/>
      <c r="G72" s="16"/>
      <c r="H72" s="16"/>
      <c r="I72" s="22" t="str">
        <f t="shared" si="2"/>
        <v/>
      </c>
      <c r="J72" s="13"/>
      <c r="K72" s="24"/>
      <c r="L72" s="13"/>
      <c r="M72" s="13"/>
      <c r="N72" s="13"/>
      <c r="O72" s="31"/>
      <c r="P72" s="31"/>
      <c r="Q72" s="31"/>
      <c r="R72" s="31"/>
      <c r="S72" s="31"/>
      <c r="T72" s="31"/>
      <c r="U72" s="31"/>
    </row>
    <row r="73" spans="1:21" ht="20.100000000000001" customHeight="1">
      <c r="A73" s="13"/>
      <c r="B73" s="13"/>
      <c r="C73" s="13"/>
      <c r="D73" s="13"/>
      <c r="E73" s="13"/>
      <c r="F73" s="13"/>
      <c r="G73" s="16"/>
      <c r="H73" s="16"/>
      <c r="I73" s="22" t="str">
        <f t="shared" si="2"/>
        <v/>
      </c>
      <c r="J73" s="13"/>
      <c r="K73" s="24"/>
      <c r="L73" s="13"/>
      <c r="M73" s="13"/>
      <c r="N73" s="13"/>
      <c r="O73" s="31"/>
      <c r="P73" s="31"/>
      <c r="Q73" s="31"/>
      <c r="R73" s="31"/>
      <c r="S73" s="31"/>
      <c r="T73" s="31"/>
      <c r="U73" s="31"/>
    </row>
    <row r="74" spans="1:21" ht="20.100000000000001" customHeight="1">
      <c r="A74" s="13"/>
      <c r="B74" s="13"/>
      <c r="C74" s="13"/>
      <c r="D74" s="13"/>
      <c r="E74" s="13"/>
      <c r="F74" s="13"/>
      <c r="G74" s="16"/>
      <c r="H74" s="16"/>
      <c r="I74" s="22" t="str">
        <f t="shared" si="2"/>
        <v/>
      </c>
      <c r="J74" s="13"/>
      <c r="K74" s="24"/>
      <c r="L74" s="13"/>
      <c r="M74" s="13"/>
      <c r="N74" s="13"/>
      <c r="O74" s="31"/>
      <c r="P74" s="31"/>
      <c r="Q74" s="31"/>
      <c r="R74" s="31"/>
      <c r="S74" s="31"/>
      <c r="T74" s="31"/>
      <c r="U74" s="31"/>
    </row>
    <row r="75" spans="1:21" ht="20.100000000000001" customHeight="1">
      <c r="A75" s="13"/>
      <c r="B75" s="13"/>
      <c r="C75" s="13"/>
      <c r="D75" s="13"/>
      <c r="E75" s="13"/>
      <c r="F75" s="13"/>
      <c r="G75" s="16"/>
      <c r="H75" s="16"/>
      <c r="I75" s="22" t="str">
        <f t="shared" si="2"/>
        <v/>
      </c>
      <c r="J75" s="13"/>
      <c r="K75" s="24"/>
      <c r="L75" s="13"/>
      <c r="M75" s="13"/>
      <c r="N75" s="13"/>
      <c r="O75" s="31"/>
      <c r="P75" s="31"/>
      <c r="Q75" s="31"/>
      <c r="R75" s="31"/>
      <c r="S75" s="31"/>
      <c r="T75" s="31"/>
      <c r="U75" s="31"/>
    </row>
    <row r="76" spans="1:21" ht="20.100000000000001" customHeight="1">
      <c r="A76" s="13"/>
      <c r="B76" s="13"/>
      <c r="C76" s="13"/>
      <c r="D76" s="13"/>
      <c r="E76" s="13"/>
      <c r="F76" s="13"/>
      <c r="G76" s="16"/>
      <c r="H76" s="16"/>
      <c r="I76" s="22" t="str">
        <f t="shared" si="2"/>
        <v/>
      </c>
      <c r="J76" s="13"/>
      <c r="K76" s="24"/>
      <c r="L76" s="13"/>
      <c r="M76" s="13"/>
      <c r="N76" s="13"/>
      <c r="O76" s="31"/>
      <c r="P76" s="31"/>
      <c r="Q76" s="31"/>
      <c r="R76" s="31"/>
      <c r="S76" s="31"/>
      <c r="T76" s="31"/>
      <c r="U76" s="31"/>
    </row>
    <row r="77" spans="1:21" ht="20.100000000000001" customHeight="1">
      <c r="A77" s="13"/>
      <c r="B77" s="13"/>
      <c r="C77" s="13"/>
      <c r="D77" s="13"/>
      <c r="E77" s="13"/>
      <c r="F77" s="13"/>
      <c r="G77" s="16"/>
      <c r="H77" s="16"/>
      <c r="I77" s="22" t="str">
        <f t="shared" si="2"/>
        <v/>
      </c>
      <c r="J77" s="13"/>
      <c r="K77" s="24"/>
      <c r="L77" s="13"/>
      <c r="M77" s="13"/>
      <c r="N77" s="13"/>
      <c r="O77" s="31"/>
      <c r="P77" s="31"/>
      <c r="Q77" s="31"/>
      <c r="R77" s="31"/>
      <c r="S77" s="31"/>
      <c r="T77" s="31"/>
      <c r="U77" s="31"/>
    </row>
    <row r="78" spans="1:21" ht="20.100000000000001" customHeight="1">
      <c r="A78" s="13"/>
      <c r="B78" s="13"/>
      <c r="C78" s="13"/>
      <c r="D78" s="13"/>
      <c r="E78" s="13"/>
      <c r="F78" s="13"/>
      <c r="G78" s="16"/>
      <c r="H78" s="16"/>
      <c r="I78" s="22" t="str">
        <f t="shared" si="2"/>
        <v/>
      </c>
      <c r="J78" s="13"/>
      <c r="K78" s="24"/>
      <c r="L78" s="13"/>
      <c r="M78" s="13"/>
      <c r="N78" s="13"/>
      <c r="O78" s="31"/>
      <c r="P78" s="31"/>
      <c r="Q78" s="31"/>
      <c r="R78" s="31"/>
      <c r="S78" s="31"/>
      <c r="T78" s="31"/>
      <c r="U78" s="31"/>
    </row>
    <row r="79" spans="1:21" ht="20.100000000000001" customHeight="1">
      <c r="A79" s="13"/>
      <c r="B79" s="13"/>
      <c r="C79" s="13"/>
      <c r="D79" s="13"/>
      <c r="E79" s="13"/>
      <c r="F79" s="13"/>
      <c r="G79" s="16"/>
      <c r="H79" s="16"/>
      <c r="I79" s="22" t="str">
        <f t="shared" si="2"/>
        <v/>
      </c>
      <c r="J79" s="13"/>
      <c r="K79" s="24"/>
      <c r="L79" s="13"/>
      <c r="M79" s="13"/>
      <c r="N79" s="13"/>
      <c r="O79" s="31"/>
      <c r="P79" s="31"/>
      <c r="Q79" s="31"/>
      <c r="R79" s="31"/>
      <c r="S79" s="31"/>
      <c r="T79" s="31"/>
      <c r="U79" s="31"/>
    </row>
    <row r="80" spans="1:21" ht="20.100000000000001" customHeight="1">
      <c r="A80" s="13"/>
      <c r="B80" s="13"/>
      <c r="C80" s="13"/>
      <c r="D80" s="13"/>
      <c r="E80" s="13"/>
      <c r="F80" s="13"/>
      <c r="G80" s="16"/>
      <c r="H80" s="16"/>
      <c r="I80" s="22" t="str">
        <f t="shared" si="2"/>
        <v/>
      </c>
      <c r="J80" s="13"/>
      <c r="K80" s="24"/>
      <c r="L80" s="13"/>
      <c r="M80" s="13"/>
      <c r="N80" s="13"/>
      <c r="O80" s="31"/>
      <c r="P80" s="31"/>
      <c r="Q80" s="31"/>
      <c r="R80" s="31"/>
      <c r="S80" s="31"/>
      <c r="T80" s="31"/>
      <c r="U80" s="31"/>
    </row>
    <row r="81" spans="1:21" ht="20.100000000000001" customHeight="1">
      <c r="A81" s="13"/>
      <c r="B81" s="13"/>
      <c r="C81" s="13"/>
      <c r="D81" s="13"/>
      <c r="E81" s="13"/>
      <c r="F81" s="13"/>
      <c r="G81" s="16"/>
      <c r="H81" s="16"/>
      <c r="I81" s="22" t="str">
        <f t="shared" si="2"/>
        <v/>
      </c>
      <c r="J81" s="13"/>
      <c r="K81" s="24"/>
      <c r="L81" s="13"/>
      <c r="M81" s="13"/>
      <c r="N81" s="13"/>
      <c r="O81" s="31"/>
      <c r="P81" s="31"/>
      <c r="Q81" s="31"/>
      <c r="R81" s="31"/>
      <c r="S81" s="31"/>
      <c r="T81" s="31"/>
      <c r="U81" s="31"/>
    </row>
    <row r="82" spans="1:21" ht="20.100000000000001" customHeight="1">
      <c r="A82" s="13"/>
      <c r="B82" s="13"/>
      <c r="C82" s="13"/>
      <c r="D82" s="13"/>
      <c r="E82" s="13"/>
      <c r="F82" s="13"/>
      <c r="G82" s="16"/>
      <c r="H82" s="16"/>
      <c r="I82" s="22" t="str">
        <f t="shared" si="2"/>
        <v/>
      </c>
      <c r="J82" s="13"/>
      <c r="K82" s="24"/>
      <c r="L82" s="13"/>
      <c r="M82" s="13"/>
      <c r="N82" s="13"/>
      <c r="O82" s="31"/>
      <c r="P82" s="31"/>
      <c r="Q82" s="31"/>
      <c r="R82" s="31"/>
      <c r="S82" s="31"/>
      <c r="T82" s="31"/>
      <c r="U82" s="31"/>
    </row>
    <row r="83" spans="1:21" ht="20.100000000000001" customHeight="1">
      <c r="A83" s="13"/>
      <c r="B83" s="13"/>
      <c r="C83" s="13"/>
      <c r="D83" s="13"/>
      <c r="E83" s="13"/>
      <c r="F83" s="13"/>
      <c r="G83" s="16"/>
      <c r="H83" s="16"/>
      <c r="I83" s="22" t="str">
        <f t="shared" si="2"/>
        <v/>
      </c>
      <c r="J83" s="13"/>
      <c r="K83" s="24"/>
      <c r="L83" s="13"/>
      <c r="M83" s="13"/>
      <c r="N83" s="13"/>
      <c r="O83" s="31"/>
      <c r="P83" s="31"/>
      <c r="Q83" s="31"/>
      <c r="R83" s="31"/>
      <c r="S83" s="31"/>
      <c r="T83" s="31"/>
      <c r="U83" s="31"/>
    </row>
    <row r="84" spans="1:21" ht="20.100000000000001" customHeight="1">
      <c r="A84" s="13"/>
      <c r="B84" s="13"/>
      <c r="C84" s="13"/>
      <c r="D84" s="13"/>
      <c r="E84" s="13"/>
      <c r="F84" s="13"/>
      <c r="G84" s="16"/>
      <c r="H84" s="16"/>
      <c r="I84" s="22" t="str">
        <f t="shared" si="2"/>
        <v/>
      </c>
      <c r="J84" s="13"/>
      <c r="K84" s="24"/>
      <c r="L84" s="13"/>
      <c r="M84" s="13"/>
      <c r="N84" s="13"/>
      <c r="O84" s="31"/>
      <c r="P84" s="31"/>
      <c r="Q84" s="31"/>
      <c r="R84" s="31"/>
      <c r="S84" s="31"/>
      <c r="T84" s="31"/>
      <c r="U84" s="31"/>
    </row>
    <row r="85" spans="1:21" ht="20.100000000000001" customHeight="1">
      <c r="A85" s="13"/>
      <c r="B85" s="13"/>
      <c r="C85" s="13"/>
      <c r="D85" s="13"/>
      <c r="E85" s="13"/>
      <c r="F85" s="13"/>
      <c r="G85" s="16"/>
      <c r="H85" s="16"/>
      <c r="I85" s="22" t="str">
        <f t="shared" si="2"/>
        <v/>
      </c>
      <c r="J85" s="13"/>
      <c r="K85" s="24"/>
      <c r="L85" s="13"/>
      <c r="M85" s="13"/>
      <c r="N85" s="13"/>
      <c r="O85" s="31"/>
      <c r="P85" s="31"/>
      <c r="Q85" s="31"/>
      <c r="R85" s="31"/>
      <c r="S85" s="31"/>
      <c r="T85" s="31"/>
      <c r="U85" s="31"/>
    </row>
    <row r="86" spans="1:21" ht="20.100000000000001" customHeight="1">
      <c r="A86" s="13"/>
      <c r="B86" s="13"/>
      <c r="C86" s="13"/>
      <c r="D86" s="13"/>
      <c r="E86" s="13"/>
      <c r="F86" s="13"/>
      <c r="G86" s="16"/>
      <c r="H86" s="16"/>
      <c r="I86" s="22" t="str">
        <f t="shared" si="2"/>
        <v/>
      </c>
      <c r="J86" s="13"/>
      <c r="K86" s="24"/>
      <c r="L86" s="13"/>
      <c r="M86" s="13"/>
      <c r="N86" s="13"/>
      <c r="O86" s="31"/>
      <c r="P86" s="31"/>
      <c r="Q86" s="31"/>
      <c r="R86" s="31"/>
      <c r="S86" s="31"/>
      <c r="T86" s="31"/>
      <c r="U86" s="31"/>
    </row>
    <row r="87" spans="1:21" ht="20.100000000000001" customHeight="1">
      <c r="A87" s="13"/>
      <c r="B87" s="13"/>
      <c r="C87" s="13"/>
      <c r="D87" s="13"/>
      <c r="E87" s="13"/>
      <c r="F87" s="13"/>
      <c r="G87" s="16"/>
      <c r="H87" s="16"/>
      <c r="I87" s="22" t="str">
        <f t="shared" si="2"/>
        <v/>
      </c>
      <c r="J87" s="13"/>
      <c r="K87" s="24"/>
      <c r="L87" s="13"/>
      <c r="M87" s="13"/>
      <c r="N87" s="13"/>
      <c r="O87" s="31"/>
      <c r="P87" s="31"/>
      <c r="Q87" s="31"/>
      <c r="R87" s="31"/>
      <c r="S87" s="31"/>
      <c r="T87" s="31"/>
      <c r="U87" s="31"/>
    </row>
    <row r="88" spans="1:21" ht="20.100000000000001" customHeight="1">
      <c r="A88" s="13"/>
      <c r="B88" s="13"/>
      <c r="C88" s="13"/>
      <c r="D88" s="13"/>
      <c r="E88" s="13"/>
      <c r="F88" s="13"/>
      <c r="G88" s="16"/>
      <c r="H88" s="16"/>
      <c r="I88" s="22" t="str">
        <f t="shared" si="2"/>
        <v/>
      </c>
      <c r="J88" s="13"/>
      <c r="K88" s="24"/>
      <c r="L88" s="13"/>
      <c r="M88" s="13"/>
      <c r="N88" s="13"/>
      <c r="O88" s="31"/>
      <c r="P88" s="31"/>
      <c r="Q88" s="31"/>
      <c r="R88" s="31"/>
      <c r="S88" s="31"/>
      <c r="T88" s="31"/>
      <c r="U88" s="31"/>
    </row>
    <row r="89" spans="1:21" ht="20.100000000000001" customHeight="1">
      <c r="A89" s="13"/>
      <c r="B89" s="13"/>
      <c r="C89" s="13"/>
      <c r="D89" s="13"/>
      <c r="E89" s="13"/>
      <c r="F89" s="13"/>
      <c r="G89" s="16"/>
      <c r="H89" s="16"/>
      <c r="I89" s="22" t="str">
        <f t="shared" si="2"/>
        <v/>
      </c>
      <c r="J89" s="13"/>
      <c r="K89" s="24"/>
      <c r="L89" s="13"/>
      <c r="M89" s="13"/>
      <c r="N89" s="13"/>
      <c r="O89" s="31"/>
      <c r="P89" s="31"/>
      <c r="Q89" s="31"/>
      <c r="R89" s="31"/>
      <c r="S89" s="31"/>
      <c r="T89" s="31"/>
      <c r="U89" s="31"/>
    </row>
    <row r="90" spans="1:21" ht="20.100000000000001" customHeight="1">
      <c r="A90" s="13"/>
      <c r="B90" s="13"/>
      <c r="C90" s="13"/>
      <c r="D90" s="13"/>
      <c r="E90" s="13"/>
      <c r="F90" s="13"/>
      <c r="G90" s="16"/>
      <c r="H90" s="16"/>
      <c r="I90" s="22" t="str">
        <f t="shared" si="2"/>
        <v/>
      </c>
      <c r="J90" s="13"/>
      <c r="K90" s="24"/>
      <c r="L90" s="13"/>
      <c r="M90" s="13"/>
      <c r="N90" s="13"/>
      <c r="O90" s="31"/>
      <c r="P90" s="31"/>
      <c r="Q90" s="31"/>
      <c r="R90" s="31"/>
      <c r="S90" s="31"/>
      <c r="T90" s="31"/>
      <c r="U90" s="31"/>
    </row>
    <row r="91" spans="1:21" ht="20.100000000000001" customHeight="1">
      <c r="A91" s="13"/>
      <c r="B91" s="13"/>
      <c r="C91" s="13"/>
      <c r="D91" s="13"/>
      <c r="E91" s="13"/>
      <c r="F91" s="13"/>
      <c r="G91" s="16"/>
      <c r="H91" s="16"/>
      <c r="I91" s="22" t="str">
        <f t="shared" si="2"/>
        <v/>
      </c>
      <c r="J91" s="13"/>
      <c r="K91" s="24"/>
      <c r="L91" s="13"/>
      <c r="M91" s="13"/>
      <c r="N91" s="13"/>
      <c r="O91" s="31"/>
      <c r="P91" s="31"/>
      <c r="Q91" s="31"/>
      <c r="R91" s="31"/>
      <c r="S91" s="31"/>
      <c r="T91" s="31"/>
      <c r="U91" s="31"/>
    </row>
    <row r="92" spans="1:21" ht="20.100000000000001" customHeight="1">
      <c r="A92" s="13"/>
      <c r="B92" s="13"/>
      <c r="C92" s="13"/>
      <c r="D92" s="13"/>
      <c r="E92" s="13"/>
      <c r="F92" s="13"/>
      <c r="G92" s="16"/>
      <c r="H92" s="16"/>
      <c r="I92" s="22" t="str">
        <f t="shared" si="2"/>
        <v/>
      </c>
      <c r="J92" s="13"/>
      <c r="K92" s="24"/>
      <c r="L92" s="13"/>
      <c r="M92" s="13"/>
      <c r="N92" s="13"/>
      <c r="O92" s="31"/>
      <c r="P92" s="31"/>
      <c r="Q92" s="31"/>
      <c r="R92" s="31"/>
      <c r="S92" s="31"/>
      <c r="T92" s="31"/>
      <c r="U92" s="31"/>
    </row>
    <row r="93" spans="1:21" ht="20.100000000000001" customHeight="1">
      <c r="A93" s="13"/>
      <c r="B93" s="13"/>
      <c r="C93" s="13"/>
      <c r="D93" s="13"/>
      <c r="E93" s="13"/>
      <c r="F93" s="13"/>
      <c r="G93" s="16"/>
      <c r="H93" s="16"/>
      <c r="I93" s="22" t="str">
        <f t="shared" si="2"/>
        <v/>
      </c>
      <c r="J93" s="13"/>
      <c r="K93" s="24"/>
      <c r="L93" s="13"/>
      <c r="M93" s="13"/>
      <c r="N93" s="13"/>
      <c r="O93" s="31"/>
      <c r="P93" s="31"/>
      <c r="Q93" s="31"/>
      <c r="R93" s="31"/>
      <c r="S93" s="31"/>
      <c r="T93" s="31"/>
      <c r="U93" s="31"/>
    </row>
    <row r="94" spans="1:21" ht="20.100000000000001" customHeight="1">
      <c r="A94" s="13"/>
      <c r="B94" s="13"/>
      <c r="C94" s="13"/>
      <c r="D94" s="13"/>
      <c r="E94" s="13"/>
      <c r="F94" s="13"/>
      <c r="G94" s="16"/>
      <c r="H94" s="16"/>
      <c r="I94" s="22" t="str">
        <f t="shared" si="2"/>
        <v/>
      </c>
      <c r="J94" s="13"/>
      <c r="K94" s="24"/>
      <c r="L94" s="13"/>
      <c r="M94" s="13"/>
      <c r="N94" s="13"/>
      <c r="O94" s="31"/>
      <c r="P94" s="31"/>
      <c r="Q94" s="31"/>
      <c r="R94" s="31"/>
      <c r="S94" s="31"/>
      <c r="T94" s="31"/>
      <c r="U94" s="31"/>
    </row>
    <row r="95" spans="1:21" ht="20.100000000000001" customHeight="1">
      <c r="A95" s="13"/>
      <c r="B95" s="13"/>
      <c r="C95" s="13"/>
      <c r="D95" s="13"/>
      <c r="E95" s="13"/>
      <c r="F95" s="13"/>
      <c r="G95" s="16"/>
      <c r="H95" s="16"/>
      <c r="I95" s="22" t="str">
        <f t="shared" si="2"/>
        <v/>
      </c>
      <c r="J95" s="13"/>
      <c r="K95" s="24"/>
      <c r="L95" s="13"/>
      <c r="M95" s="13"/>
      <c r="N95" s="13"/>
      <c r="O95" s="31"/>
      <c r="P95" s="31"/>
      <c r="Q95" s="31"/>
      <c r="R95" s="31"/>
      <c r="S95" s="31"/>
      <c r="T95" s="31"/>
      <c r="U95" s="31"/>
    </row>
    <row r="96" spans="1:21" ht="20.100000000000001" customHeight="1">
      <c r="A96" s="13"/>
      <c r="B96" s="13"/>
      <c r="C96" s="13"/>
      <c r="D96" s="13"/>
      <c r="E96" s="13"/>
      <c r="F96" s="13"/>
      <c r="G96" s="16"/>
      <c r="H96" s="16"/>
      <c r="I96" s="22" t="str">
        <f t="shared" si="2"/>
        <v/>
      </c>
      <c r="J96" s="13"/>
      <c r="K96" s="24"/>
      <c r="L96" s="13"/>
      <c r="M96" s="13"/>
      <c r="N96" s="13"/>
      <c r="O96" s="31"/>
      <c r="P96" s="31"/>
      <c r="Q96" s="31"/>
      <c r="R96" s="31"/>
      <c r="S96" s="31"/>
      <c r="T96" s="31"/>
      <c r="U96" s="31"/>
    </row>
    <row r="97" spans="1:21" ht="20.100000000000001" customHeight="1">
      <c r="A97" s="13"/>
      <c r="B97" s="13"/>
      <c r="C97" s="13"/>
      <c r="D97" s="13"/>
      <c r="E97" s="13"/>
      <c r="F97" s="13"/>
      <c r="G97" s="16"/>
      <c r="H97" s="16"/>
      <c r="I97" s="22" t="str">
        <f t="shared" si="2"/>
        <v/>
      </c>
      <c r="J97" s="13"/>
      <c r="K97" s="24"/>
      <c r="L97" s="13"/>
      <c r="M97" s="13"/>
      <c r="N97" s="13"/>
      <c r="O97" s="31"/>
      <c r="P97" s="31"/>
      <c r="Q97" s="31"/>
      <c r="R97" s="31"/>
      <c r="S97" s="31"/>
      <c r="T97" s="31"/>
      <c r="U97" s="31"/>
    </row>
    <row r="98" spans="1:21" ht="20.100000000000001" customHeight="1">
      <c r="A98" s="13"/>
      <c r="B98" s="13"/>
      <c r="C98" s="13"/>
      <c r="D98" s="13"/>
      <c r="E98" s="13"/>
      <c r="F98" s="13"/>
      <c r="G98" s="16"/>
      <c r="H98" s="16"/>
      <c r="I98" s="22" t="str">
        <f t="shared" si="2"/>
        <v/>
      </c>
      <c r="J98" s="13"/>
      <c r="K98" s="24"/>
      <c r="L98" s="13"/>
      <c r="M98" s="13"/>
      <c r="N98" s="13"/>
      <c r="O98" s="31"/>
      <c r="P98" s="31"/>
      <c r="Q98" s="31"/>
      <c r="R98" s="31"/>
      <c r="S98" s="31"/>
      <c r="T98" s="31"/>
      <c r="U98" s="31"/>
    </row>
    <row r="99" spans="1:21" ht="20.100000000000001" customHeight="1">
      <c r="A99" s="13"/>
      <c r="B99" s="13"/>
      <c r="C99" s="13"/>
      <c r="D99" s="13"/>
      <c r="E99" s="13"/>
      <c r="F99" s="13"/>
      <c r="G99" s="16"/>
      <c r="H99" s="16"/>
      <c r="I99" s="22" t="str">
        <f t="shared" si="2"/>
        <v/>
      </c>
      <c r="J99" s="13"/>
      <c r="K99" s="24"/>
      <c r="L99" s="13"/>
      <c r="M99" s="13"/>
      <c r="N99" s="13"/>
      <c r="O99" s="31"/>
      <c r="P99" s="31"/>
      <c r="Q99" s="31"/>
      <c r="R99" s="31"/>
      <c r="S99" s="31"/>
      <c r="T99" s="31"/>
      <c r="U99" s="31"/>
    </row>
    <row r="100" spans="1:21" ht="20.100000000000001" customHeight="1">
      <c r="A100" s="13"/>
      <c r="B100" s="13"/>
      <c r="C100" s="13"/>
      <c r="D100" s="13"/>
      <c r="E100" s="13"/>
      <c r="F100" s="13"/>
      <c r="G100" s="16"/>
      <c r="H100" s="16"/>
      <c r="I100" s="22" t="str">
        <f t="shared" si="2"/>
        <v/>
      </c>
      <c r="J100" s="13"/>
      <c r="K100" s="24"/>
      <c r="L100" s="13"/>
      <c r="M100" s="13"/>
      <c r="N100" s="13"/>
      <c r="O100" s="31"/>
      <c r="P100" s="31"/>
      <c r="Q100" s="31"/>
      <c r="R100" s="31"/>
      <c r="S100" s="31"/>
      <c r="T100" s="31"/>
      <c r="U100" s="31"/>
    </row>
    <row r="101" spans="1:21" ht="20.100000000000001" customHeight="1">
      <c r="A101" s="13"/>
      <c r="B101" s="13"/>
      <c r="C101" s="13"/>
      <c r="D101" s="13"/>
      <c r="E101" s="13"/>
      <c r="F101" s="13"/>
      <c r="G101" s="16"/>
      <c r="H101" s="16"/>
      <c r="I101" s="22" t="str">
        <f t="shared" si="2"/>
        <v/>
      </c>
      <c r="J101" s="13"/>
      <c r="K101" s="24"/>
      <c r="L101" s="13"/>
      <c r="M101" s="13"/>
      <c r="N101" s="13"/>
      <c r="O101" s="31"/>
      <c r="P101" s="31"/>
      <c r="Q101" s="31"/>
      <c r="R101" s="31"/>
      <c r="S101" s="31"/>
      <c r="T101" s="31"/>
      <c r="U101" s="31"/>
    </row>
    <row r="102" spans="1:21" ht="20.100000000000001" customHeight="1">
      <c r="A102" s="13"/>
      <c r="B102" s="13"/>
      <c r="C102" s="13"/>
      <c r="D102" s="13"/>
      <c r="E102" s="13"/>
      <c r="F102" s="13"/>
      <c r="G102" s="16"/>
      <c r="H102" s="16"/>
      <c r="I102" s="22" t="str">
        <f t="shared" ref="I102:I133" si="3">IF(A102="","",IF(OR(G102="",H102=""),"",G102*H102))</f>
        <v/>
      </c>
      <c r="J102" s="13"/>
      <c r="K102" s="24"/>
      <c r="L102" s="13"/>
      <c r="M102" s="13"/>
      <c r="N102" s="13"/>
      <c r="O102" s="31"/>
      <c r="P102" s="31"/>
      <c r="Q102" s="31"/>
      <c r="R102" s="31"/>
      <c r="S102" s="31"/>
      <c r="T102" s="31"/>
      <c r="U102" s="31"/>
    </row>
    <row r="103" spans="1:21" ht="20.100000000000001" customHeight="1">
      <c r="A103" s="13"/>
      <c r="B103" s="13"/>
      <c r="C103" s="13"/>
      <c r="D103" s="13"/>
      <c r="E103" s="13"/>
      <c r="F103" s="13"/>
      <c r="G103" s="16"/>
      <c r="H103" s="16"/>
      <c r="I103" s="22" t="str">
        <f t="shared" si="3"/>
        <v/>
      </c>
      <c r="J103" s="13"/>
      <c r="K103" s="24"/>
      <c r="L103" s="13"/>
      <c r="M103" s="13"/>
      <c r="N103" s="13"/>
      <c r="O103" s="31"/>
      <c r="P103" s="31"/>
      <c r="Q103" s="31"/>
      <c r="R103" s="31"/>
      <c r="S103" s="31"/>
      <c r="T103" s="31"/>
      <c r="U103" s="31"/>
    </row>
    <row r="104" spans="1:21" ht="20.100000000000001" customHeight="1">
      <c r="A104" s="13"/>
      <c r="B104" s="13"/>
      <c r="C104" s="13"/>
      <c r="D104" s="13"/>
      <c r="E104" s="13"/>
      <c r="F104" s="13"/>
      <c r="G104" s="16"/>
      <c r="H104" s="16"/>
      <c r="I104" s="22" t="str">
        <f t="shared" si="3"/>
        <v/>
      </c>
      <c r="J104" s="13"/>
      <c r="K104" s="24"/>
      <c r="L104" s="13"/>
      <c r="M104" s="13"/>
      <c r="N104" s="13"/>
      <c r="O104" s="31"/>
      <c r="P104" s="31"/>
      <c r="Q104" s="31"/>
      <c r="R104" s="31"/>
      <c r="S104" s="31"/>
      <c r="T104" s="31"/>
      <c r="U104" s="31"/>
    </row>
    <row r="105" spans="1:21" ht="20.100000000000001" customHeight="1">
      <c r="A105" s="13"/>
      <c r="B105" s="13"/>
      <c r="C105" s="13"/>
      <c r="D105" s="13"/>
      <c r="E105" s="13"/>
      <c r="F105" s="13"/>
      <c r="G105" s="16"/>
      <c r="H105" s="16"/>
      <c r="I105" s="22" t="str">
        <f t="shared" si="3"/>
        <v/>
      </c>
      <c r="J105" s="13"/>
      <c r="K105" s="24"/>
      <c r="L105" s="13"/>
      <c r="M105" s="13"/>
      <c r="N105" s="13"/>
      <c r="O105" s="31"/>
      <c r="P105" s="31"/>
      <c r="Q105" s="31"/>
      <c r="R105" s="31"/>
      <c r="S105" s="31"/>
      <c r="T105" s="31"/>
      <c r="U105" s="31"/>
    </row>
    <row r="106" spans="1:21" ht="20.100000000000001" customHeight="1">
      <c r="A106" s="13"/>
      <c r="B106" s="13"/>
      <c r="C106" s="13"/>
      <c r="D106" s="13"/>
      <c r="E106" s="13"/>
      <c r="F106" s="13"/>
      <c r="G106" s="16"/>
      <c r="H106" s="16"/>
      <c r="I106" s="22" t="str">
        <f t="shared" si="3"/>
        <v/>
      </c>
      <c r="J106" s="13"/>
      <c r="K106" s="24"/>
      <c r="L106" s="13"/>
      <c r="M106" s="13"/>
      <c r="N106" s="13"/>
      <c r="O106" s="31"/>
      <c r="P106" s="31"/>
      <c r="Q106" s="31"/>
      <c r="R106" s="31"/>
      <c r="S106" s="31"/>
      <c r="T106" s="31"/>
      <c r="U106" s="31"/>
    </row>
    <row r="107" spans="1:21" ht="20.100000000000001" customHeight="1">
      <c r="A107" s="13"/>
      <c r="B107" s="13"/>
      <c r="C107" s="13"/>
      <c r="D107" s="13"/>
      <c r="E107" s="13"/>
      <c r="F107" s="13"/>
      <c r="G107" s="16"/>
      <c r="H107" s="16"/>
      <c r="I107" s="22" t="str">
        <f t="shared" si="3"/>
        <v/>
      </c>
      <c r="J107" s="13"/>
      <c r="K107" s="24"/>
      <c r="L107" s="13"/>
      <c r="M107" s="13"/>
      <c r="N107" s="13"/>
      <c r="O107" s="31"/>
      <c r="P107" s="31"/>
      <c r="Q107" s="31"/>
      <c r="R107" s="31"/>
      <c r="S107" s="31"/>
      <c r="T107" s="31"/>
      <c r="U107" s="31"/>
    </row>
    <row r="108" spans="1:21" ht="20.100000000000001" customHeight="1">
      <c r="A108" s="13"/>
      <c r="B108" s="13"/>
      <c r="C108" s="13"/>
      <c r="D108" s="13"/>
      <c r="E108" s="13"/>
      <c r="F108" s="13"/>
      <c r="G108" s="16"/>
      <c r="H108" s="16"/>
      <c r="I108" s="22" t="str">
        <f t="shared" si="3"/>
        <v/>
      </c>
      <c r="J108" s="13"/>
      <c r="K108" s="24"/>
      <c r="L108" s="13"/>
      <c r="M108" s="13"/>
      <c r="N108" s="13"/>
      <c r="O108" s="31"/>
      <c r="P108" s="31"/>
      <c r="Q108" s="31"/>
      <c r="R108" s="31"/>
      <c r="S108" s="31"/>
      <c r="T108" s="31"/>
      <c r="U108" s="31"/>
    </row>
    <row r="109" spans="1:21" ht="20.100000000000001" customHeight="1">
      <c r="A109" s="13"/>
      <c r="B109" s="13"/>
      <c r="C109" s="13"/>
      <c r="D109" s="13"/>
      <c r="E109" s="13"/>
      <c r="F109" s="13"/>
      <c r="G109" s="16"/>
      <c r="H109" s="16"/>
      <c r="I109" s="22" t="str">
        <f t="shared" si="3"/>
        <v/>
      </c>
      <c r="J109" s="13"/>
      <c r="K109" s="24"/>
      <c r="L109" s="13"/>
      <c r="M109" s="13"/>
      <c r="N109" s="13"/>
      <c r="O109" s="31"/>
      <c r="P109" s="31"/>
      <c r="Q109" s="31"/>
      <c r="R109" s="31"/>
      <c r="S109" s="31"/>
      <c r="T109" s="31"/>
      <c r="U109" s="31"/>
    </row>
    <row r="110" spans="1:21" ht="20.100000000000001" customHeight="1">
      <c r="A110" s="13"/>
      <c r="B110" s="13"/>
      <c r="C110" s="13"/>
      <c r="D110" s="13"/>
      <c r="E110" s="13"/>
      <c r="F110" s="13"/>
      <c r="G110" s="16"/>
      <c r="H110" s="16"/>
      <c r="I110" s="22" t="str">
        <f t="shared" si="3"/>
        <v/>
      </c>
      <c r="J110" s="13"/>
      <c r="K110" s="24"/>
      <c r="L110" s="13"/>
      <c r="M110" s="13"/>
      <c r="N110" s="13"/>
      <c r="O110" s="31"/>
      <c r="P110" s="31"/>
      <c r="Q110" s="31"/>
      <c r="R110" s="31"/>
      <c r="S110" s="31"/>
      <c r="T110" s="31"/>
      <c r="U110" s="31"/>
    </row>
    <row r="111" spans="1:21" ht="20.100000000000001" customHeight="1">
      <c r="A111" s="13"/>
      <c r="B111" s="13"/>
      <c r="C111" s="13"/>
      <c r="D111" s="13"/>
      <c r="E111" s="13"/>
      <c r="F111" s="13"/>
      <c r="G111" s="16"/>
      <c r="H111" s="16"/>
      <c r="I111" s="22" t="str">
        <f t="shared" si="3"/>
        <v/>
      </c>
      <c r="J111" s="13"/>
      <c r="K111" s="24"/>
      <c r="L111" s="13"/>
      <c r="M111" s="13"/>
      <c r="N111" s="13"/>
      <c r="O111" s="31"/>
      <c r="P111" s="31"/>
      <c r="Q111" s="31"/>
      <c r="R111" s="31"/>
      <c r="S111" s="31"/>
      <c r="T111" s="31"/>
      <c r="U111" s="31"/>
    </row>
    <row r="112" spans="1:21" ht="20.100000000000001" customHeight="1">
      <c r="A112" s="13"/>
      <c r="B112" s="13"/>
      <c r="C112" s="13"/>
      <c r="D112" s="13"/>
      <c r="E112" s="13"/>
      <c r="F112" s="13"/>
      <c r="G112" s="16"/>
      <c r="H112" s="16"/>
      <c r="I112" s="22" t="str">
        <f t="shared" si="3"/>
        <v/>
      </c>
      <c r="J112" s="13"/>
      <c r="K112" s="24"/>
      <c r="L112" s="13"/>
      <c r="M112" s="13"/>
      <c r="N112" s="13"/>
      <c r="O112" s="31"/>
      <c r="P112" s="31"/>
      <c r="Q112" s="31"/>
      <c r="R112" s="31"/>
      <c r="S112" s="31"/>
      <c r="T112" s="31"/>
      <c r="U112" s="31"/>
    </row>
    <row r="113" spans="1:21" ht="20.100000000000001" customHeight="1">
      <c r="A113" s="13"/>
      <c r="B113" s="13"/>
      <c r="C113" s="13"/>
      <c r="D113" s="13"/>
      <c r="E113" s="13"/>
      <c r="F113" s="13"/>
      <c r="G113" s="16"/>
      <c r="H113" s="16"/>
      <c r="I113" s="22" t="str">
        <f t="shared" si="3"/>
        <v/>
      </c>
      <c r="J113" s="13"/>
      <c r="K113" s="24"/>
      <c r="L113" s="13"/>
      <c r="M113" s="13"/>
      <c r="N113" s="13"/>
      <c r="O113" s="31"/>
      <c r="P113" s="31"/>
      <c r="Q113" s="31"/>
      <c r="R113" s="31"/>
      <c r="S113" s="31"/>
      <c r="T113" s="31"/>
      <c r="U113" s="31"/>
    </row>
    <row r="114" spans="1:21" ht="20.100000000000001" customHeight="1">
      <c r="A114" s="13"/>
      <c r="B114" s="13"/>
      <c r="C114" s="13"/>
      <c r="D114" s="13"/>
      <c r="E114" s="13"/>
      <c r="F114" s="13"/>
      <c r="G114" s="16"/>
      <c r="H114" s="16"/>
      <c r="I114" s="22" t="str">
        <f t="shared" si="3"/>
        <v/>
      </c>
      <c r="J114" s="13"/>
      <c r="K114" s="24"/>
      <c r="L114" s="13"/>
      <c r="M114" s="13"/>
      <c r="N114" s="13"/>
      <c r="O114" s="31"/>
      <c r="P114" s="31"/>
      <c r="Q114" s="31"/>
      <c r="R114" s="31"/>
      <c r="S114" s="31"/>
      <c r="T114" s="31"/>
      <c r="U114" s="31"/>
    </row>
    <row r="115" spans="1:21" ht="20.100000000000001" customHeight="1">
      <c r="A115" s="13"/>
      <c r="B115" s="13"/>
      <c r="C115" s="13"/>
      <c r="D115" s="13"/>
      <c r="E115" s="13"/>
      <c r="F115" s="13"/>
      <c r="G115" s="16"/>
      <c r="H115" s="16"/>
      <c r="I115" s="22" t="str">
        <f t="shared" si="3"/>
        <v/>
      </c>
      <c r="J115" s="13"/>
      <c r="K115" s="24"/>
      <c r="L115" s="13"/>
      <c r="M115" s="13"/>
      <c r="N115" s="13"/>
      <c r="O115" s="31"/>
      <c r="P115" s="31"/>
      <c r="Q115" s="31"/>
      <c r="R115" s="31"/>
      <c r="S115" s="31"/>
      <c r="T115" s="31"/>
      <c r="U115" s="31"/>
    </row>
    <row r="116" spans="1:21" ht="20.100000000000001" customHeight="1">
      <c r="A116" s="13"/>
      <c r="B116" s="13"/>
      <c r="C116" s="13"/>
      <c r="D116" s="13"/>
      <c r="E116" s="13"/>
      <c r="F116" s="13"/>
      <c r="G116" s="16"/>
      <c r="H116" s="16"/>
      <c r="I116" s="22" t="str">
        <f t="shared" si="3"/>
        <v/>
      </c>
      <c r="J116" s="13"/>
      <c r="K116" s="24"/>
      <c r="L116" s="13"/>
      <c r="M116" s="13"/>
      <c r="N116" s="13"/>
      <c r="O116" s="31"/>
      <c r="P116" s="31"/>
      <c r="Q116" s="31"/>
      <c r="R116" s="31"/>
      <c r="S116" s="31"/>
      <c r="T116" s="31"/>
      <c r="U116" s="31"/>
    </row>
    <row r="117" spans="1:21" ht="20.100000000000001" customHeight="1">
      <c r="A117" s="13"/>
      <c r="B117" s="13"/>
      <c r="C117" s="13"/>
      <c r="D117" s="13"/>
      <c r="E117" s="13"/>
      <c r="F117" s="13"/>
      <c r="G117" s="16"/>
      <c r="H117" s="16"/>
      <c r="I117" s="22" t="str">
        <f t="shared" si="3"/>
        <v/>
      </c>
      <c r="J117" s="13"/>
      <c r="K117" s="24"/>
      <c r="L117" s="13"/>
      <c r="M117" s="13"/>
      <c r="N117" s="13"/>
      <c r="O117" s="31"/>
      <c r="P117" s="31"/>
      <c r="Q117" s="31"/>
      <c r="R117" s="31"/>
      <c r="S117" s="31"/>
      <c r="T117" s="31"/>
      <c r="U117" s="31"/>
    </row>
    <row r="118" spans="1:21" ht="20.100000000000001" customHeight="1">
      <c r="A118" s="13"/>
      <c r="B118" s="13"/>
      <c r="C118" s="13"/>
      <c r="D118" s="13"/>
      <c r="E118" s="13"/>
      <c r="F118" s="13"/>
      <c r="G118" s="16"/>
      <c r="H118" s="16"/>
      <c r="I118" s="22" t="str">
        <f t="shared" si="3"/>
        <v/>
      </c>
      <c r="J118" s="13"/>
      <c r="K118" s="24"/>
      <c r="L118" s="13"/>
      <c r="M118" s="13"/>
      <c r="N118" s="13"/>
      <c r="O118" s="31"/>
      <c r="P118" s="31"/>
      <c r="Q118" s="31"/>
      <c r="R118" s="31"/>
      <c r="S118" s="31"/>
      <c r="T118" s="31"/>
      <c r="U118" s="31"/>
    </row>
    <row r="119" spans="1:21" ht="20.100000000000001" customHeight="1">
      <c r="A119" s="13"/>
      <c r="B119" s="13"/>
      <c r="C119" s="13"/>
      <c r="D119" s="13"/>
      <c r="E119" s="13"/>
      <c r="F119" s="13"/>
      <c r="G119" s="16"/>
      <c r="H119" s="16"/>
      <c r="I119" s="22" t="str">
        <f t="shared" si="3"/>
        <v/>
      </c>
      <c r="J119" s="13"/>
      <c r="K119" s="24"/>
      <c r="L119" s="13"/>
      <c r="M119" s="13"/>
      <c r="N119" s="13"/>
      <c r="O119" s="31"/>
      <c r="P119" s="31"/>
      <c r="Q119" s="31"/>
      <c r="R119" s="31"/>
      <c r="S119" s="31"/>
      <c r="T119" s="31"/>
      <c r="U119" s="31"/>
    </row>
    <row r="120" spans="1:21" ht="20.100000000000001" customHeight="1">
      <c r="A120" s="13"/>
      <c r="B120" s="13"/>
      <c r="C120" s="13"/>
      <c r="D120" s="13"/>
      <c r="E120" s="13"/>
      <c r="F120" s="13"/>
      <c r="G120" s="16"/>
      <c r="H120" s="16"/>
      <c r="I120" s="22" t="str">
        <f t="shared" si="3"/>
        <v/>
      </c>
      <c r="J120" s="13"/>
      <c r="K120" s="24"/>
      <c r="L120" s="13"/>
      <c r="M120" s="13"/>
      <c r="N120" s="13"/>
      <c r="O120" s="31"/>
      <c r="P120" s="31"/>
      <c r="Q120" s="31"/>
      <c r="R120" s="31"/>
      <c r="S120" s="31"/>
      <c r="T120" s="31"/>
      <c r="U120" s="31"/>
    </row>
    <row r="121" spans="1:21" ht="20.100000000000001" customHeight="1">
      <c r="A121" s="13"/>
      <c r="B121" s="13"/>
      <c r="C121" s="13"/>
      <c r="D121" s="13"/>
      <c r="E121" s="13"/>
      <c r="F121" s="13"/>
      <c r="G121" s="16"/>
      <c r="H121" s="16"/>
      <c r="I121" s="22" t="str">
        <f t="shared" si="3"/>
        <v/>
      </c>
      <c r="J121" s="13"/>
      <c r="K121" s="24"/>
      <c r="L121" s="13"/>
      <c r="M121" s="13"/>
      <c r="N121" s="13"/>
      <c r="O121" s="31"/>
      <c r="P121" s="31"/>
      <c r="Q121" s="31"/>
      <c r="R121" s="31"/>
      <c r="S121" s="31"/>
      <c r="T121" s="31"/>
      <c r="U121" s="31"/>
    </row>
    <row r="122" spans="1:21" ht="20.100000000000001" customHeight="1">
      <c r="A122" s="13"/>
      <c r="B122" s="13"/>
      <c r="C122" s="13"/>
      <c r="D122" s="13"/>
      <c r="E122" s="13"/>
      <c r="F122" s="13"/>
      <c r="G122" s="16"/>
      <c r="H122" s="16"/>
      <c r="I122" s="22" t="str">
        <f t="shared" si="3"/>
        <v/>
      </c>
      <c r="J122" s="13"/>
      <c r="K122" s="24"/>
      <c r="L122" s="13"/>
      <c r="M122" s="13"/>
      <c r="N122" s="13"/>
      <c r="O122" s="31"/>
      <c r="P122" s="31"/>
      <c r="Q122" s="31"/>
      <c r="R122" s="31"/>
      <c r="S122" s="31"/>
      <c r="T122" s="31"/>
      <c r="U122" s="31"/>
    </row>
    <row r="123" spans="1:21" ht="20.100000000000001" customHeight="1">
      <c r="A123" s="13"/>
      <c r="B123" s="13"/>
      <c r="C123" s="13"/>
      <c r="D123" s="13"/>
      <c r="E123" s="13"/>
      <c r="F123" s="13"/>
      <c r="G123" s="16"/>
      <c r="H123" s="16"/>
      <c r="I123" s="22" t="str">
        <f t="shared" si="3"/>
        <v/>
      </c>
      <c r="J123" s="13"/>
      <c r="K123" s="24"/>
      <c r="L123" s="13"/>
      <c r="M123" s="13"/>
      <c r="N123" s="13"/>
      <c r="O123" s="31"/>
      <c r="P123" s="31"/>
      <c r="Q123" s="31"/>
      <c r="R123" s="31"/>
      <c r="S123" s="31"/>
      <c r="T123" s="31"/>
      <c r="U123" s="31"/>
    </row>
    <row r="124" spans="1:21" ht="20.100000000000001" customHeight="1">
      <c r="A124" s="13"/>
      <c r="B124" s="13"/>
      <c r="C124" s="13"/>
      <c r="D124" s="13"/>
      <c r="E124" s="13"/>
      <c r="F124" s="13"/>
      <c r="G124" s="16"/>
      <c r="H124" s="16"/>
      <c r="I124" s="22" t="str">
        <f t="shared" si="3"/>
        <v/>
      </c>
      <c r="J124" s="13"/>
      <c r="K124" s="24"/>
      <c r="L124" s="13"/>
      <c r="M124" s="13"/>
      <c r="N124" s="13"/>
      <c r="O124" s="31"/>
      <c r="P124" s="31"/>
      <c r="Q124" s="31"/>
      <c r="R124" s="31"/>
      <c r="S124" s="31"/>
      <c r="T124" s="31"/>
      <c r="U124" s="31"/>
    </row>
    <row r="125" spans="1:21" ht="20.100000000000001" customHeight="1">
      <c r="A125" s="13"/>
      <c r="B125" s="13"/>
      <c r="C125" s="13"/>
      <c r="D125" s="13"/>
      <c r="E125" s="13"/>
      <c r="F125" s="13"/>
      <c r="G125" s="16"/>
      <c r="H125" s="16"/>
      <c r="I125" s="22" t="str">
        <f t="shared" si="3"/>
        <v/>
      </c>
      <c r="J125" s="13"/>
      <c r="K125" s="24"/>
      <c r="L125" s="13"/>
      <c r="M125" s="13"/>
      <c r="N125" s="13"/>
      <c r="O125" s="31"/>
      <c r="P125" s="31"/>
      <c r="Q125" s="31"/>
      <c r="R125" s="31"/>
      <c r="S125" s="31"/>
      <c r="T125" s="31"/>
      <c r="U125" s="31"/>
    </row>
    <row r="126" spans="1:21" ht="20.100000000000001" customHeight="1">
      <c r="A126" s="13"/>
      <c r="B126" s="13"/>
      <c r="C126" s="13"/>
      <c r="D126" s="13"/>
      <c r="E126" s="13"/>
      <c r="F126" s="13"/>
      <c r="G126" s="16"/>
      <c r="H126" s="16"/>
      <c r="I126" s="22" t="str">
        <f t="shared" si="3"/>
        <v/>
      </c>
      <c r="J126" s="13"/>
      <c r="K126" s="24"/>
      <c r="L126" s="13"/>
      <c r="M126" s="13"/>
      <c r="N126" s="13"/>
      <c r="O126" s="31"/>
      <c r="P126" s="31"/>
      <c r="Q126" s="31"/>
      <c r="R126" s="31"/>
      <c r="S126" s="31"/>
      <c r="T126" s="31"/>
      <c r="U126" s="31"/>
    </row>
    <row r="127" spans="1:21" ht="20.100000000000001" customHeight="1">
      <c r="A127" s="13"/>
      <c r="B127" s="13"/>
      <c r="C127" s="13"/>
      <c r="D127" s="13"/>
      <c r="E127" s="13"/>
      <c r="F127" s="13"/>
      <c r="G127" s="16"/>
      <c r="H127" s="16"/>
      <c r="I127" s="22" t="str">
        <f t="shared" si="3"/>
        <v/>
      </c>
      <c r="J127" s="13"/>
      <c r="K127" s="24"/>
      <c r="L127" s="13"/>
      <c r="M127" s="13"/>
      <c r="N127" s="13"/>
      <c r="O127" s="31"/>
      <c r="P127" s="31"/>
      <c r="Q127" s="31"/>
      <c r="R127" s="31"/>
      <c r="S127" s="31"/>
      <c r="T127" s="31"/>
      <c r="U127" s="31"/>
    </row>
    <row r="128" spans="1:21" ht="20.100000000000001" customHeight="1">
      <c r="A128" s="13"/>
      <c r="B128" s="13"/>
      <c r="C128" s="13"/>
      <c r="D128" s="13"/>
      <c r="E128" s="13"/>
      <c r="F128" s="13"/>
      <c r="G128" s="16"/>
      <c r="H128" s="16"/>
      <c r="I128" s="22" t="str">
        <f t="shared" si="3"/>
        <v/>
      </c>
      <c r="J128" s="13"/>
      <c r="K128" s="24"/>
      <c r="L128" s="13"/>
      <c r="M128" s="13"/>
      <c r="N128" s="13"/>
      <c r="O128" s="31"/>
      <c r="P128" s="31"/>
      <c r="Q128" s="31"/>
      <c r="R128" s="31"/>
      <c r="S128" s="31"/>
      <c r="T128" s="31"/>
      <c r="U128" s="31"/>
    </row>
    <row r="129" spans="1:21" ht="20.100000000000001" customHeight="1">
      <c r="A129" s="13"/>
      <c r="B129" s="13"/>
      <c r="C129" s="13"/>
      <c r="D129" s="13"/>
      <c r="E129" s="13"/>
      <c r="F129" s="13"/>
      <c r="G129" s="16"/>
      <c r="H129" s="16"/>
      <c r="I129" s="22" t="str">
        <f t="shared" si="3"/>
        <v/>
      </c>
      <c r="J129" s="13"/>
      <c r="K129" s="24"/>
      <c r="L129" s="13"/>
      <c r="M129" s="13"/>
      <c r="N129" s="13"/>
      <c r="O129" s="31"/>
      <c r="P129" s="31"/>
      <c r="Q129" s="31"/>
      <c r="R129" s="31"/>
      <c r="S129" s="31"/>
      <c r="T129" s="31"/>
      <c r="U129" s="31"/>
    </row>
    <row r="130" spans="1:21" ht="20.100000000000001" customHeight="1">
      <c r="A130" s="13"/>
      <c r="B130" s="13"/>
      <c r="C130" s="13"/>
      <c r="D130" s="13"/>
      <c r="E130" s="13"/>
      <c r="F130" s="13"/>
      <c r="G130" s="16"/>
      <c r="H130" s="16"/>
      <c r="I130" s="22" t="str">
        <f t="shared" si="3"/>
        <v/>
      </c>
      <c r="J130" s="13"/>
      <c r="K130" s="24"/>
      <c r="L130" s="13"/>
      <c r="M130" s="13"/>
      <c r="N130" s="13"/>
      <c r="O130" s="31"/>
      <c r="P130" s="31"/>
      <c r="Q130" s="31"/>
      <c r="R130" s="31"/>
      <c r="S130" s="31"/>
      <c r="T130" s="31"/>
      <c r="U130" s="31"/>
    </row>
    <row r="131" spans="1:21" ht="20.100000000000001" customHeight="1">
      <c r="A131" s="13"/>
      <c r="B131" s="13"/>
      <c r="C131" s="13"/>
      <c r="D131" s="13"/>
      <c r="E131" s="13"/>
      <c r="F131" s="13"/>
      <c r="G131" s="16"/>
      <c r="H131" s="16"/>
      <c r="I131" s="22" t="str">
        <f t="shared" si="3"/>
        <v/>
      </c>
      <c r="J131" s="13"/>
      <c r="K131" s="24"/>
      <c r="L131" s="13"/>
      <c r="M131" s="13"/>
      <c r="N131" s="13"/>
      <c r="O131" s="31"/>
      <c r="P131" s="31"/>
      <c r="Q131" s="31"/>
      <c r="R131" s="31"/>
      <c r="S131" s="31"/>
      <c r="T131" s="31"/>
      <c r="U131" s="31"/>
    </row>
    <row r="132" spans="1:21" ht="20.100000000000001" customHeight="1">
      <c r="A132" s="13"/>
      <c r="B132" s="13"/>
      <c r="C132" s="13"/>
      <c r="D132" s="13"/>
      <c r="E132" s="13"/>
      <c r="F132" s="13"/>
      <c r="G132" s="16"/>
      <c r="H132" s="16"/>
      <c r="I132" s="22" t="str">
        <f t="shared" si="3"/>
        <v/>
      </c>
      <c r="J132" s="13"/>
      <c r="K132" s="24"/>
      <c r="L132" s="13"/>
      <c r="M132" s="13"/>
      <c r="N132" s="13"/>
      <c r="O132" s="31"/>
      <c r="P132" s="31"/>
      <c r="Q132" s="31"/>
      <c r="R132" s="31"/>
      <c r="S132" s="31"/>
      <c r="T132" s="31"/>
      <c r="U132" s="31"/>
    </row>
    <row r="133" spans="1:21" ht="20.100000000000001" customHeight="1">
      <c r="A133" s="13"/>
      <c r="B133" s="13"/>
      <c r="C133" s="13"/>
      <c r="D133" s="13"/>
      <c r="E133" s="13"/>
      <c r="F133" s="13"/>
      <c r="G133" s="16"/>
      <c r="H133" s="16"/>
      <c r="I133" s="22" t="str">
        <f t="shared" si="3"/>
        <v/>
      </c>
      <c r="J133" s="13"/>
      <c r="K133" s="24"/>
      <c r="L133" s="13"/>
      <c r="M133" s="13"/>
      <c r="N133" s="13"/>
      <c r="O133" s="31"/>
      <c r="P133" s="31"/>
      <c r="Q133" s="31"/>
      <c r="R133" s="31"/>
      <c r="S133" s="31"/>
      <c r="T133" s="31"/>
      <c r="U133" s="31"/>
    </row>
    <row r="134" spans="1:21" ht="20.100000000000001" customHeight="1">
      <c r="A134" s="13"/>
      <c r="B134" s="13"/>
      <c r="C134" s="13"/>
      <c r="D134" s="13"/>
      <c r="E134" s="13"/>
      <c r="F134" s="13"/>
      <c r="G134" s="16"/>
      <c r="H134" s="16"/>
      <c r="I134" s="22" t="str">
        <f t="shared" ref="I134:I165" si="4">IF(A134="","",IF(OR(G134="",H134=""),"",G134*H134))</f>
        <v/>
      </c>
      <c r="J134" s="13"/>
      <c r="K134" s="24"/>
      <c r="L134" s="13"/>
      <c r="M134" s="13"/>
      <c r="N134" s="13"/>
      <c r="O134" s="31"/>
      <c r="P134" s="31"/>
      <c r="Q134" s="31"/>
      <c r="R134" s="31"/>
      <c r="S134" s="31"/>
      <c r="T134" s="31"/>
      <c r="U134" s="31"/>
    </row>
    <row r="135" spans="1:21" ht="20.100000000000001" customHeight="1">
      <c r="A135" s="13"/>
      <c r="B135" s="13"/>
      <c r="C135" s="13"/>
      <c r="D135" s="13"/>
      <c r="E135" s="13"/>
      <c r="F135" s="13"/>
      <c r="G135" s="16"/>
      <c r="H135" s="16"/>
      <c r="I135" s="22" t="str">
        <f t="shared" si="4"/>
        <v/>
      </c>
      <c r="J135" s="13"/>
      <c r="K135" s="24"/>
      <c r="L135" s="13"/>
      <c r="M135" s="13"/>
      <c r="N135" s="13"/>
      <c r="O135" s="31"/>
      <c r="P135" s="31"/>
      <c r="Q135" s="31"/>
      <c r="R135" s="31"/>
      <c r="S135" s="31"/>
      <c r="T135" s="31"/>
      <c r="U135" s="31"/>
    </row>
    <row r="136" spans="1:21" ht="20.100000000000001" customHeight="1">
      <c r="A136" s="13"/>
      <c r="B136" s="13"/>
      <c r="C136" s="13"/>
      <c r="D136" s="13"/>
      <c r="E136" s="13"/>
      <c r="F136" s="13"/>
      <c r="G136" s="16"/>
      <c r="H136" s="16"/>
      <c r="I136" s="22" t="str">
        <f t="shared" si="4"/>
        <v/>
      </c>
      <c r="J136" s="13"/>
      <c r="K136" s="24"/>
      <c r="L136" s="13"/>
      <c r="M136" s="13"/>
      <c r="N136" s="13"/>
      <c r="O136" s="31"/>
      <c r="P136" s="31"/>
      <c r="Q136" s="31"/>
      <c r="R136" s="31"/>
      <c r="S136" s="31"/>
      <c r="T136" s="31"/>
      <c r="U136" s="31"/>
    </row>
    <row r="137" spans="1:21" ht="20.100000000000001" customHeight="1">
      <c r="A137" s="13"/>
      <c r="B137" s="13"/>
      <c r="C137" s="13"/>
      <c r="D137" s="13"/>
      <c r="E137" s="13"/>
      <c r="F137" s="13"/>
      <c r="G137" s="16"/>
      <c r="H137" s="16"/>
      <c r="I137" s="22" t="str">
        <f t="shared" si="4"/>
        <v/>
      </c>
      <c r="J137" s="13"/>
      <c r="K137" s="24"/>
      <c r="L137" s="13"/>
      <c r="M137" s="13"/>
      <c r="N137" s="13"/>
      <c r="O137" s="31"/>
      <c r="P137" s="31"/>
      <c r="Q137" s="31"/>
      <c r="R137" s="31"/>
      <c r="S137" s="31"/>
      <c r="T137" s="31"/>
      <c r="U137" s="31"/>
    </row>
    <row r="138" spans="1:21" ht="20.100000000000001" customHeight="1">
      <c r="A138" s="13"/>
      <c r="B138" s="13"/>
      <c r="C138" s="13"/>
      <c r="D138" s="13"/>
      <c r="E138" s="13"/>
      <c r="F138" s="13"/>
      <c r="G138" s="16"/>
      <c r="H138" s="16"/>
      <c r="I138" s="22" t="str">
        <f t="shared" si="4"/>
        <v/>
      </c>
      <c r="J138" s="13"/>
      <c r="K138" s="24"/>
      <c r="L138" s="13"/>
      <c r="M138" s="13"/>
      <c r="N138" s="13"/>
      <c r="O138" s="31"/>
      <c r="P138" s="31"/>
      <c r="Q138" s="31"/>
      <c r="R138" s="31"/>
      <c r="S138" s="31"/>
      <c r="T138" s="31"/>
      <c r="U138" s="31"/>
    </row>
    <row r="139" spans="1:21" ht="20.100000000000001" customHeight="1">
      <c r="A139" s="13"/>
      <c r="B139" s="13"/>
      <c r="C139" s="13"/>
      <c r="D139" s="13"/>
      <c r="E139" s="13"/>
      <c r="F139" s="13"/>
      <c r="G139" s="16"/>
      <c r="H139" s="16"/>
      <c r="I139" s="22" t="str">
        <f t="shared" si="4"/>
        <v/>
      </c>
      <c r="J139" s="13"/>
      <c r="K139" s="24"/>
      <c r="L139" s="13"/>
      <c r="M139" s="13"/>
      <c r="N139" s="13"/>
      <c r="O139" s="31"/>
      <c r="P139" s="31"/>
      <c r="Q139" s="31"/>
      <c r="R139" s="31"/>
      <c r="S139" s="31"/>
      <c r="T139" s="31"/>
      <c r="U139" s="31"/>
    </row>
    <row r="140" spans="1:21" ht="20.100000000000001" customHeight="1">
      <c r="A140" s="13"/>
      <c r="B140" s="13"/>
      <c r="C140" s="13"/>
      <c r="D140" s="13"/>
      <c r="E140" s="13"/>
      <c r="F140" s="13"/>
      <c r="G140" s="16"/>
      <c r="H140" s="16"/>
      <c r="I140" s="22" t="str">
        <f t="shared" si="4"/>
        <v/>
      </c>
      <c r="J140" s="13"/>
      <c r="K140" s="24"/>
      <c r="L140" s="13"/>
      <c r="M140" s="13"/>
      <c r="N140" s="13"/>
      <c r="O140" s="31"/>
      <c r="P140" s="31"/>
      <c r="Q140" s="31"/>
      <c r="R140" s="31"/>
      <c r="S140" s="31"/>
      <c r="T140" s="31"/>
      <c r="U140" s="31"/>
    </row>
    <row r="141" spans="1:21" ht="20.100000000000001" customHeight="1">
      <c r="A141" s="13"/>
      <c r="B141" s="13"/>
      <c r="C141" s="13"/>
      <c r="D141" s="13"/>
      <c r="E141" s="13"/>
      <c r="F141" s="13"/>
      <c r="G141" s="16"/>
      <c r="H141" s="16"/>
      <c r="I141" s="22" t="str">
        <f t="shared" si="4"/>
        <v/>
      </c>
      <c r="J141" s="13"/>
      <c r="K141" s="24"/>
      <c r="L141" s="13"/>
      <c r="M141" s="13"/>
      <c r="N141" s="13"/>
      <c r="O141" s="31"/>
      <c r="P141" s="31"/>
      <c r="Q141" s="31"/>
      <c r="R141" s="31"/>
      <c r="S141" s="31"/>
      <c r="T141" s="31"/>
      <c r="U141" s="31"/>
    </row>
    <row r="142" spans="1:21" ht="20.100000000000001" customHeight="1">
      <c r="A142" s="13"/>
      <c r="B142" s="13"/>
      <c r="C142" s="13"/>
      <c r="D142" s="13"/>
      <c r="E142" s="13"/>
      <c r="F142" s="13"/>
      <c r="G142" s="16"/>
      <c r="H142" s="16"/>
      <c r="I142" s="22" t="str">
        <f t="shared" si="4"/>
        <v/>
      </c>
      <c r="J142" s="13"/>
      <c r="K142" s="24"/>
      <c r="L142" s="13"/>
      <c r="M142" s="13"/>
      <c r="N142" s="13"/>
      <c r="O142" s="31"/>
      <c r="P142" s="31"/>
      <c r="Q142" s="31"/>
      <c r="R142" s="31"/>
      <c r="S142" s="31"/>
      <c r="T142" s="31"/>
      <c r="U142" s="31"/>
    </row>
    <row r="143" spans="1:21" ht="20.100000000000001" customHeight="1">
      <c r="A143" s="13"/>
      <c r="B143" s="13"/>
      <c r="C143" s="13"/>
      <c r="D143" s="13"/>
      <c r="E143" s="13"/>
      <c r="F143" s="13"/>
      <c r="G143" s="16"/>
      <c r="H143" s="16"/>
      <c r="I143" s="22" t="str">
        <f t="shared" si="4"/>
        <v/>
      </c>
      <c r="J143" s="13"/>
      <c r="K143" s="24"/>
      <c r="L143" s="13"/>
      <c r="M143" s="13"/>
      <c r="N143" s="13"/>
      <c r="O143" s="31"/>
      <c r="P143" s="31"/>
      <c r="Q143" s="31"/>
      <c r="R143" s="31"/>
      <c r="S143" s="31"/>
      <c r="T143" s="31"/>
      <c r="U143" s="31"/>
    </row>
    <row r="144" spans="1:21" ht="20.100000000000001" customHeight="1">
      <c r="A144" s="13"/>
      <c r="B144" s="13"/>
      <c r="C144" s="13"/>
      <c r="D144" s="13"/>
      <c r="E144" s="13"/>
      <c r="F144" s="13"/>
      <c r="G144" s="16"/>
      <c r="H144" s="16"/>
      <c r="I144" s="22" t="str">
        <f t="shared" si="4"/>
        <v/>
      </c>
      <c r="J144" s="13"/>
      <c r="K144" s="24"/>
      <c r="L144" s="13"/>
      <c r="M144" s="13"/>
      <c r="N144" s="13"/>
      <c r="O144" s="31"/>
      <c r="P144" s="31"/>
      <c r="Q144" s="31"/>
      <c r="R144" s="31"/>
      <c r="S144" s="31"/>
      <c r="T144" s="31"/>
      <c r="U144" s="31"/>
    </row>
    <row r="145" spans="1:21" ht="20.100000000000001" customHeight="1">
      <c r="A145" s="13"/>
      <c r="B145" s="13"/>
      <c r="C145" s="13"/>
      <c r="D145" s="13"/>
      <c r="E145" s="13"/>
      <c r="F145" s="13"/>
      <c r="G145" s="16"/>
      <c r="H145" s="16"/>
      <c r="I145" s="22" t="str">
        <f t="shared" si="4"/>
        <v/>
      </c>
      <c r="J145" s="13"/>
      <c r="K145" s="24"/>
      <c r="L145" s="13"/>
      <c r="M145" s="13"/>
      <c r="N145" s="13"/>
      <c r="O145" s="31"/>
      <c r="P145" s="31"/>
      <c r="Q145" s="31"/>
      <c r="R145" s="31"/>
      <c r="S145" s="31"/>
      <c r="T145" s="31"/>
      <c r="U145" s="31"/>
    </row>
    <row r="146" spans="1:21" ht="20.100000000000001" customHeight="1">
      <c r="A146" s="13"/>
      <c r="B146" s="13"/>
      <c r="C146" s="13"/>
      <c r="D146" s="13"/>
      <c r="E146" s="13"/>
      <c r="F146" s="13"/>
      <c r="G146" s="16"/>
      <c r="H146" s="16"/>
      <c r="I146" s="22" t="str">
        <f t="shared" si="4"/>
        <v/>
      </c>
      <c r="J146" s="13"/>
      <c r="K146" s="24"/>
      <c r="L146" s="13"/>
      <c r="M146" s="13"/>
      <c r="N146" s="13"/>
      <c r="O146" s="31"/>
      <c r="P146" s="31"/>
      <c r="Q146" s="31"/>
      <c r="R146" s="31"/>
      <c r="S146" s="31"/>
      <c r="T146" s="31"/>
      <c r="U146" s="31"/>
    </row>
    <row r="147" spans="1:21" ht="20.100000000000001" customHeight="1">
      <c r="A147" s="13"/>
      <c r="B147" s="13"/>
      <c r="C147" s="13"/>
      <c r="D147" s="13"/>
      <c r="E147" s="13"/>
      <c r="F147" s="13"/>
      <c r="G147" s="16"/>
      <c r="H147" s="16"/>
      <c r="I147" s="22" t="str">
        <f t="shared" si="4"/>
        <v/>
      </c>
      <c r="J147" s="13"/>
      <c r="K147" s="24"/>
      <c r="L147" s="13"/>
      <c r="M147" s="13"/>
      <c r="N147" s="13"/>
      <c r="O147" s="31"/>
      <c r="P147" s="31"/>
      <c r="Q147" s="31"/>
      <c r="R147" s="31"/>
      <c r="S147" s="31"/>
      <c r="T147" s="31"/>
      <c r="U147" s="31"/>
    </row>
    <row r="148" spans="1:21" ht="20.100000000000001" customHeight="1">
      <c r="A148" s="13"/>
      <c r="B148" s="13"/>
      <c r="C148" s="13"/>
      <c r="D148" s="13"/>
      <c r="E148" s="13"/>
      <c r="F148" s="13"/>
      <c r="G148" s="16"/>
      <c r="H148" s="16"/>
      <c r="I148" s="22" t="str">
        <f t="shared" si="4"/>
        <v/>
      </c>
      <c r="J148" s="13"/>
      <c r="K148" s="24"/>
      <c r="L148" s="13"/>
      <c r="M148" s="13"/>
      <c r="N148" s="13"/>
      <c r="O148" s="31"/>
      <c r="P148" s="31"/>
      <c r="Q148" s="31"/>
      <c r="R148" s="31"/>
      <c r="S148" s="31"/>
      <c r="T148" s="31"/>
      <c r="U148" s="31"/>
    </row>
    <row r="149" spans="1:21" ht="20.100000000000001" customHeight="1">
      <c r="A149" s="13"/>
      <c r="B149" s="13"/>
      <c r="C149" s="13"/>
      <c r="D149" s="13"/>
      <c r="E149" s="13"/>
      <c r="F149" s="13"/>
      <c r="G149" s="16"/>
      <c r="H149" s="16"/>
      <c r="I149" s="22" t="str">
        <f t="shared" si="4"/>
        <v/>
      </c>
      <c r="J149" s="13"/>
      <c r="K149" s="24"/>
      <c r="L149" s="13"/>
      <c r="M149" s="13"/>
      <c r="N149" s="13"/>
      <c r="O149" s="31"/>
      <c r="P149" s="31"/>
      <c r="Q149" s="31"/>
      <c r="R149" s="31"/>
      <c r="S149" s="31"/>
      <c r="T149" s="31"/>
      <c r="U149" s="31"/>
    </row>
    <row r="150" spans="1:21" ht="20.100000000000001" customHeight="1">
      <c r="A150" s="13"/>
      <c r="B150" s="13"/>
      <c r="C150" s="13"/>
      <c r="D150" s="13"/>
      <c r="E150" s="13"/>
      <c r="F150" s="13"/>
      <c r="G150" s="16"/>
      <c r="H150" s="16"/>
      <c r="I150" s="22" t="str">
        <f t="shared" si="4"/>
        <v/>
      </c>
      <c r="J150" s="13"/>
      <c r="K150" s="24"/>
      <c r="L150" s="13"/>
      <c r="M150" s="13"/>
      <c r="N150" s="13"/>
      <c r="O150" s="31"/>
      <c r="P150" s="31"/>
      <c r="Q150" s="31"/>
      <c r="R150" s="31"/>
      <c r="S150" s="31"/>
      <c r="T150" s="31"/>
      <c r="U150" s="31"/>
    </row>
    <row r="151" spans="1:21" ht="20.100000000000001" customHeight="1">
      <c r="A151" s="13"/>
      <c r="B151" s="13"/>
      <c r="C151" s="13"/>
      <c r="D151" s="13"/>
      <c r="E151" s="13"/>
      <c r="F151" s="13"/>
      <c r="G151" s="16"/>
      <c r="H151" s="16"/>
      <c r="I151" s="22" t="str">
        <f t="shared" si="4"/>
        <v/>
      </c>
      <c r="J151" s="13"/>
      <c r="K151" s="24"/>
      <c r="L151" s="13"/>
      <c r="M151" s="13"/>
      <c r="N151" s="13"/>
      <c r="O151" s="31"/>
      <c r="P151" s="31"/>
      <c r="Q151" s="31"/>
      <c r="R151" s="31"/>
      <c r="S151" s="31"/>
      <c r="T151" s="31"/>
      <c r="U151" s="31"/>
    </row>
    <row r="152" spans="1:21" ht="20.100000000000001" customHeight="1">
      <c r="A152" s="13"/>
      <c r="B152" s="13"/>
      <c r="C152" s="13"/>
      <c r="D152" s="13"/>
      <c r="E152" s="13"/>
      <c r="F152" s="13"/>
      <c r="G152" s="16"/>
      <c r="H152" s="16"/>
      <c r="I152" s="22" t="str">
        <f t="shared" si="4"/>
        <v/>
      </c>
      <c r="J152" s="13"/>
      <c r="K152" s="24"/>
      <c r="L152" s="13"/>
      <c r="M152" s="13"/>
      <c r="N152" s="13"/>
      <c r="O152" s="31"/>
      <c r="P152" s="31"/>
      <c r="Q152" s="31"/>
      <c r="R152" s="31"/>
      <c r="S152" s="31"/>
      <c r="T152" s="31"/>
      <c r="U152" s="31"/>
    </row>
    <row r="153" spans="1:21" ht="20.100000000000001" customHeight="1">
      <c r="A153" s="13"/>
      <c r="B153" s="13"/>
      <c r="C153" s="13"/>
      <c r="D153" s="13"/>
      <c r="E153" s="13"/>
      <c r="F153" s="13"/>
      <c r="G153" s="16"/>
      <c r="H153" s="16"/>
      <c r="I153" s="22" t="str">
        <f t="shared" si="4"/>
        <v/>
      </c>
      <c r="J153" s="13"/>
      <c r="K153" s="24"/>
      <c r="L153" s="13"/>
      <c r="M153" s="13"/>
      <c r="N153" s="13"/>
      <c r="O153" s="31"/>
      <c r="P153" s="31"/>
      <c r="Q153" s="31"/>
      <c r="R153" s="31"/>
      <c r="S153" s="31"/>
      <c r="T153" s="31"/>
      <c r="U153" s="31"/>
    </row>
    <row r="154" spans="1:21" ht="20.100000000000001" customHeight="1">
      <c r="A154" s="13"/>
      <c r="B154" s="13"/>
      <c r="C154" s="13"/>
      <c r="D154" s="13"/>
      <c r="E154" s="13"/>
      <c r="F154" s="13"/>
      <c r="G154" s="16"/>
      <c r="H154" s="16"/>
      <c r="I154" s="22" t="str">
        <f t="shared" si="4"/>
        <v/>
      </c>
      <c r="J154" s="13"/>
      <c r="K154" s="24"/>
      <c r="L154" s="13"/>
      <c r="M154" s="13"/>
      <c r="N154" s="13"/>
      <c r="O154" s="31"/>
      <c r="P154" s="31"/>
      <c r="Q154" s="31"/>
      <c r="R154" s="31"/>
      <c r="S154" s="31"/>
      <c r="T154" s="31"/>
      <c r="U154" s="31"/>
    </row>
    <row r="155" spans="1:21" ht="20.100000000000001" customHeight="1">
      <c r="A155" s="13"/>
      <c r="B155" s="13"/>
      <c r="C155" s="13"/>
      <c r="D155" s="13"/>
      <c r="E155" s="13"/>
      <c r="F155" s="13"/>
      <c r="G155" s="16"/>
      <c r="H155" s="16"/>
      <c r="I155" s="22" t="str">
        <f t="shared" si="4"/>
        <v/>
      </c>
      <c r="J155" s="13"/>
      <c r="K155" s="24"/>
      <c r="L155" s="13"/>
      <c r="M155" s="13"/>
      <c r="N155" s="13"/>
      <c r="O155" s="31"/>
      <c r="P155" s="31"/>
      <c r="Q155" s="31"/>
      <c r="R155" s="31"/>
      <c r="S155" s="31"/>
      <c r="T155" s="31"/>
      <c r="U155" s="31"/>
    </row>
    <row r="156" spans="1:21" ht="20.100000000000001" customHeight="1">
      <c r="A156" s="13"/>
      <c r="B156" s="13"/>
      <c r="C156" s="13"/>
      <c r="D156" s="13"/>
      <c r="E156" s="13"/>
      <c r="F156" s="13"/>
      <c r="G156" s="16"/>
      <c r="H156" s="16"/>
      <c r="I156" s="22" t="str">
        <f t="shared" si="4"/>
        <v/>
      </c>
      <c r="J156" s="13"/>
      <c r="K156" s="24"/>
      <c r="L156" s="13"/>
      <c r="M156" s="13"/>
      <c r="N156" s="13"/>
      <c r="O156" s="31"/>
      <c r="P156" s="31"/>
      <c r="Q156" s="31"/>
      <c r="R156" s="31"/>
      <c r="S156" s="31"/>
      <c r="T156" s="31"/>
      <c r="U156" s="31"/>
    </row>
    <row r="157" spans="1:21" ht="20.100000000000001" customHeight="1">
      <c r="A157" s="13"/>
      <c r="B157" s="13"/>
      <c r="C157" s="13"/>
      <c r="D157" s="13"/>
      <c r="E157" s="13"/>
      <c r="F157" s="13"/>
      <c r="G157" s="16"/>
      <c r="H157" s="16"/>
      <c r="I157" s="22" t="str">
        <f t="shared" si="4"/>
        <v/>
      </c>
      <c r="J157" s="13"/>
      <c r="K157" s="24"/>
      <c r="L157" s="13"/>
      <c r="M157" s="13"/>
      <c r="N157" s="13"/>
      <c r="O157" s="31"/>
      <c r="P157" s="31"/>
      <c r="Q157" s="31"/>
      <c r="R157" s="31"/>
      <c r="S157" s="31"/>
      <c r="T157" s="31"/>
      <c r="U157" s="31"/>
    </row>
    <row r="158" spans="1:21" ht="20.100000000000001" customHeight="1">
      <c r="A158" s="13"/>
      <c r="B158" s="13"/>
      <c r="C158" s="13"/>
      <c r="D158" s="13"/>
      <c r="E158" s="13"/>
      <c r="F158" s="13"/>
      <c r="G158" s="16"/>
      <c r="H158" s="16"/>
      <c r="I158" s="22" t="str">
        <f t="shared" si="4"/>
        <v/>
      </c>
      <c r="J158" s="13"/>
      <c r="K158" s="24"/>
      <c r="L158" s="13"/>
      <c r="M158" s="13"/>
      <c r="N158" s="13"/>
      <c r="O158" s="31"/>
      <c r="P158" s="31"/>
      <c r="Q158" s="31"/>
      <c r="R158" s="31"/>
      <c r="S158" s="31"/>
      <c r="T158" s="31"/>
      <c r="U158" s="31"/>
    </row>
    <row r="159" spans="1:21" ht="20.100000000000001" customHeight="1">
      <c r="A159" s="13"/>
      <c r="B159" s="13"/>
      <c r="C159" s="13"/>
      <c r="D159" s="13"/>
      <c r="E159" s="13"/>
      <c r="F159" s="13"/>
      <c r="G159" s="16"/>
      <c r="H159" s="16"/>
      <c r="I159" s="22" t="str">
        <f t="shared" si="4"/>
        <v/>
      </c>
      <c r="J159" s="13"/>
      <c r="K159" s="24"/>
      <c r="L159" s="13"/>
      <c r="M159" s="13"/>
      <c r="N159" s="13"/>
      <c r="O159" s="31"/>
      <c r="P159" s="31"/>
      <c r="Q159" s="31"/>
      <c r="R159" s="31"/>
      <c r="S159" s="31"/>
      <c r="T159" s="31"/>
      <c r="U159" s="31"/>
    </row>
    <row r="160" spans="1:21" ht="20.100000000000001" customHeight="1">
      <c r="A160" s="13"/>
      <c r="B160" s="13"/>
      <c r="C160" s="13"/>
      <c r="D160" s="13"/>
      <c r="E160" s="13"/>
      <c r="F160" s="13"/>
      <c r="G160" s="16"/>
      <c r="H160" s="16"/>
      <c r="I160" s="22" t="str">
        <f t="shared" si="4"/>
        <v/>
      </c>
      <c r="J160" s="13"/>
      <c r="K160" s="24"/>
      <c r="L160" s="13"/>
      <c r="M160" s="13"/>
      <c r="N160" s="13"/>
      <c r="O160" s="31"/>
      <c r="P160" s="31"/>
      <c r="Q160" s="31"/>
      <c r="R160" s="31"/>
      <c r="S160" s="31"/>
      <c r="T160" s="31"/>
      <c r="U160" s="31"/>
    </row>
    <row r="161" spans="1:21" ht="20.100000000000001" customHeight="1">
      <c r="A161" s="13"/>
      <c r="B161" s="13"/>
      <c r="C161" s="13"/>
      <c r="D161" s="13"/>
      <c r="E161" s="13"/>
      <c r="F161" s="13"/>
      <c r="G161" s="16"/>
      <c r="H161" s="16"/>
      <c r="I161" s="22" t="str">
        <f t="shared" si="4"/>
        <v/>
      </c>
      <c r="J161" s="13"/>
      <c r="K161" s="24"/>
      <c r="L161" s="13"/>
      <c r="M161" s="13"/>
      <c r="N161" s="13"/>
      <c r="O161" s="31"/>
      <c r="P161" s="31"/>
      <c r="Q161" s="31"/>
      <c r="R161" s="31"/>
      <c r="S161" s="31"/>
      <c r="T161" s="31"/>
      <c r="U161" s="31"/>
    </row>
    <row r="162" spans="1:21" ht="20.100000000000001" customHeight="1">
      <c r="A162" s="13"/>
      <c r="B162" s="13"/>
      <c r="C162" s="13"/>
      <c r="D162" s="13"/>
      <c r="E162" s="13"/>
      <c r="F162" s="13"/>
      <c r="G162" s="16"/>
      <c r="H162" s="16"/>
      <c r="I162" s="22" t="str">
        <f t="shared" si="4"/>
        <v/>
      </c>
      <c r="J162" s="13"/>
      <c r="K162" s="24"/>
      <c r="L162" s="13"/>
      <c r="M162" s="13"/>
      <c r="N162" s="13"/>
      <c r="O162" s="31"/>
      <c r="P162" s="31"/>
      <c r="Q162" s="31"/>
      <c r="R162" s="31"/>
      <c r="S162" s="31"/>
      <c r="T162" s="31"/>
      <c r="U162" s="31"/>
    </row>
    <row r="163" spans="1:21" ht="20.100000000000001" customHeight="1">
      <c r="A163" s="13"/>
      <c r="B163" s="13"/>
      <c r="C163" s="13"/>
      <c r="D163" s="13"/>
      <c r="E163" s="13"/>
      <c r="F163" s="13"/>
      <c r="G163" s="16"/>
      <c r="H163" s="16"/>
      <c r="I163" s="22" t="str">
        <f t="shared" si="4"/>
        <v/>
      </c>
      <c r="J163" s="13"/>
      <c r="K163" s="24"/>
      <c r="L163" s="13"/>
      <c r="M163" s="13"/>
      <c r="N163" s="13"/>
      <c r="O163" s="31"/>
      <c r="P163" s="31"/>
      <c r="Q163" s="31"/>
      <c r="R163" s="31"/>
      <c r="S163" s="31"/>
      <c r="T163" s="31"/>
      <c r="U163" s="31"/>
    </row>
    <row r="164" spans="1:21" ht="20.100000000000001" customHeight="1">
      <c r="A164" s="13"/>
      <c r="B164" s="13"/>
      <c r="C164" s="13"/>
      <c r="D164" s="13"/>
      <c r="E164" s="13"/>
      <c r="F164" s="13"/>
      <c r="G164" s="16"/>
      <c r="H164" s="16"/>
      <c r="I164" s="22" t="str">
        <f t="shared" si="4"/>
        <v/>
      </c>
      <c r="J164" s="13"/>
      <c r="K164" s="24"/>
      <c r="L164" s="13"/>
      <c r="M164" s="13"/>
      <c r="N164" s="13"/>
      <c r="O164" s="31"/>
      <c r="P164" s="31"/>
      <c r="Q164" s="31"/>
      <c r="R164" s="31"/>
      <c r="S164" s="31"/>
      <c r="T164" s="31"/>
      <c r="U164" s="31"/>
    </row>
    <row r="165" spans="1:21" ht="20.100000000000001" customHeight="1">
      <c r="A165" s="13"/>
      <c r="B165" s="13"/>
      <c r="C165" s="13"/>
      <c r="D165" s="13"/>
      <c r="E165" s="13"/>
      <c r="F165" s="13"/>
      <c r="G165" s="16"/>
      <c r="H165" s="16"/>
      <c r="I165" s="22" t="str">
        <f t="shared" si="4"/>
        <v/>
      </c>
      <c r="J165" s="13"/>
      <c r="K165" s="24"/>
      <c r="L165" s="13"/>
      <c r="M165" s="13"/>
      <c r="N165" s="13"/>
      <c r="O165" s="31"/>
      <c r="P165" s="31"/>
      <c r="Q165" s="31"/>
      <c r="R165" s="31"/>
      <c r="S165" s="31"/>
      <c r="T165" s="31"/>
      <c r="U165" s="31"/>
    </row>
    <row r="166" spans="1:21" ht="20.100000000000001" customHeight="1">
      <c r="A166" s="13"/>
      <c r="B166" s="13"/>
      <c r="C166" s="13"/>
      <c r="D166" s="13"/>
      <c r="E166" s="13"/>
      <c r="F166" s="13"/>
      <c r="G166" s="16"/>
      <c r="H166" s="16"/>
      <c r="I166" s="22" t="str">
        <f t="shared" ref="I166:I197" si="5">IF(A166="","",IF(OR(G166="",H166=""),"",G166*H166))</f>
        <v/>
      </c>
      <c r="J166" s="13"/>
      <c r="K166" s="24"/>
      <c r="L166" s="13"/>
      <c r="M166" s="13"/>
      <c r="N166" s="13"/>
      <c r="O166" s="31"/>
      <c r="P166" s="31"/>
      <c r="Q166" s="31"/>
      <c r="R166" s="31"/>
      <c r="S166" s="31"/>
      <c r="T166" s="31"/>
      <c r="U166" s="31"/>
    </row>
    <row r="167" spans="1:21" ht="20.100000000000001" customHeight="1">
      <c r="A167" s="13"/>
      <c r="B167" s="13"/>
      <c r="C167" s="13"/>
      <c r="D167" s="13"/>
      <c r="E167" s="13"/>
      <c r="F167" s="13"/>
      <c r="G167" s="16"/>
      <c r="H167" s="16"/>
      <c r="I167" s="22" t="str">
        <f t="shared" si="5"/>
        <v/>
      </c>
      <c r="J167" s="13"/>
      <c r="K167" s="24"/>
      <c r="L167" s="13"/>
      <c r="M167" s="13"/>
      <c r="N167" s="13"/>
      <c r="O167" s="31"/>
      <c r="P167" s="31"/>
      <c r="Q167" s="31"/>
      <c r="R167" s="31"/>
      <c r="S167" s="31"/>
      <c r="T167" s="31"/>
      <c r="U167" s="31"/>
    </row>
    <row r="168" spans="1:21" ht="20.100000000000001" customHeight="1">
      <c r="A168" s="13"/>
      <c r="B168" s="13"/>
      <c r="C168" s="13"/>
      <c r="D168" s="13"/>
      <c r="E168" s="13"/>
      <c r="F168" s="13"/>
      <c r="G168" s="16"/>
      <c r="H168" s="16"/>
      <c r="I168" s="22" t="str">
        <f t="shared" si="5"/>
        <v/>
      </c>
      <c r="J168" s="13"/>
      <c r="K168" s="24"/>
      <c r="L168" s="13"/>
      <c r="M168" s="13"/>
      <c r="N168" s="13"/>
      <c r="O168" s="31"/>
      <c r="P168" s="31"/>
      <c r="Q168" s="31"/>
      <c r="R168" s="31"/>
      <c r="S168" s="31"/>
      <c r="T168" s="31"/>
      <c r="U168" s="31"/>
    </row>
    <row r="169" spans="1:21" ht="20.100000000000001" customHeight="1">
      <c r="A169" s="13"/>
      <c r="B169" s="13"/>
      <c r="C169" s="13"/>
      <c r="D169" s="13"/>
      <c r="E169" s="13"/>
      <c r="F169" s="13"/>
      <c r="G169" s="16"/>
      <c r="H169" s="16"/>
      <c r="I169" s="22" t="str">
        <f t="shared" si="5"/>
        <v/>
      </c>
      <c r="J169" s="13"/>
      <c r="K169" s="24"/>
      <c r="L169" s="13"/>
      <c r="M169" s="13"/>
      <c r="N169" s="13"/>
      <c r="O169" s="31"/>
      <c r="P169" s="31"/>
      <c r="Q169" s="31"/>
      <c r="R169" s="31"/>
      <c r="S169" s="31"/>
      <c r="T169" s="31"/>
      <c r="U169" s="31"/>
    </row>
    <row r="170" spans="1:21" ht="20.100000000000001" customHeight="1">
      <c r="A170" s="13"/>
      <c r="B170" s="13"/>
      <c r="C170" s="13"/>
      <c r="D170" s="13"/>
      <c r="E170" s="13"/>
      <c r="F170" s="13"/>
      <c r="G170" s="16"/>
      <c r="H170" s="16"/>
      <c r="I170" s="22" t="str">
        <f t="shared" si="5"/>
        <v/>
      </c>
      <c r="J170" s="13"/>
      <c r="K170" s="24"/>
      <c r="L170" s="13"/>
      <c r="M170" s="13"/>
      <c r="N170" s="13"/>
      <c r="O170" s="31"/>
      <c r="P170" s="31"/>
      <c r="Q170" s="31"/>
      <c r="R170" s="31"/>
      <c r="S170" s="31"/>
      <c r="T170" s="31"/>
      <c r="U170" s="31"/>
    </row>
    <row r="171" spans="1:21" ht="20.100000000000001" customHeight="1">
      <c r="A171" s="13"/>
      <c r="B171" s="13"/>
      <c r="C171" s="13"/>
      <c r="D171" s="13"/>
      <c r="E171" s="13"/>
      <c r="F171" s="13"/>
      <c r="G171" s="16"/>
      <c r="H171" s="16"/>
      <c r="I171" s="22" t="str">
        <f t="shared" si="5"/>
        <v/>
      </c>
      <c r="J171" s="13"/>
      <c r="K171" s="24"/>
      <c r="L171" s="13"/>
      <c r="M171" s="13"/>
      <c r="N171" s="13"/>
      <c r="O171" s="31"/>
      <c r="P171" s="31"/>
      <c r="Q171" s="31"/>
      <c r="R171" s="31"/>
      <c r="S171" s="31"/>
      <c r="T171" s="31"/>
      <c r="U171" s="31"/>
    </row>
    <row r="172" spans="1:21" ht="20.100000000000001" customHeight="1">
      <c r="A172" s="13"/>
      <c r="B172" s="13"/>
      <c r="C172" s="13"/>
      <c r="D172" s="13"/>
      <c r="E172" s="13"/>
      <c r="F172" s="13"/>
      <c r="G172" s="16"/>
      <c r="H172" s="16"/>
      <c r="I172" s="22" t="str">
        <f t="shared" si="5"/>
        <v/>
      </c>
      <c r="J172" s="13"/>
      <c r="K172" s="24"/>
      <c r="L172" s="13"/>
      <c r="M172" s="13"/>
      <c r="N172" s="13"/>
      <c r="O172" s="31"/>
      <c r="P172" s="31"/>
      <c r="Q172" s="31"/>
      <c r="R172" s="31"/>
      <c r="S172" s="31"/>
      <c r="T172" s="31"/>
      <c r="U172" s="31"/>
    </row>
    <row r="173" spans="1:21" ht="20.100000000000001" customHeight="1">
      <c r="A173" s="13"/>
      <c r="B173" s="13"/>
      <c r="C173" s="13"/>
      <c r="D173" s="13"/>
      <c r="E173" s="13"/>
      <c r="F173" s="13"/>
      <c r="G173" s="16"/>
      <c r="H173" s="16"/>
      <c r="I173" s="22" t="str">
        <f t="shared" si="5"/>
        <v/>
      </c>
      <c r="J173" s="13"/>
      <c r="K173" s="24"/>
      <c r="L173" s="13"/>
      <c r="M173" s="13"/>
      <c r="N173" s="13"/>
      <c r="O173" s="31"/>
      <c r="P173" s="31"/>
      <c r="Q173" s="31"/>
      <c r="R173" s="31"/>
      <c r="S173" s="31"/>
      <c r="T173" s="31"/>
      <c r="U173" s="31"/>
    </row>
    <row r="174" spans="1:21" ht="20.100000000000001" customHeight="1">
      <c r="A174" s="13"/>
      <c r="B174" s="13"/>
      <c r="C174" s="13"/>
      <c r="D174" s="13"/>
      <c r="E174" s="13"/>
      <c r="F174" s="13"/>
      <c r="G174" s="16"/>
      <c r="H174" s="16"/>
      <c r="I174" s="22" t="str">
        <f t="shared" si="5"/>
        <v/>
      </c>
      <c r="J174" s="13"/>
      <c r="K174" s="24"/>
      <c r="L174" s="13"/>
      <c r="M174" s="13"/>
      <c r="N174" s="13"/>
      <c r="O174" s="31"/>
      <c r="P174" s="31"/>
      <c r="Q174" s="31"/>
      <c r="R174" s="31"/>
      <c r="S174" s="31"/>
      <c r="T174" s="31"/>
      <c r="U174" s="31"/>
    </row>
    <row r="175" spans="1:21" ht="20.100000000000001" customHeight="1">
      <c r="A175" s="13"/>
      <c r="B175" s="13"/>
      <c r="C175" s="13"/>
      <c r="D175" s="13"/>
      <c r="E175" s="13"/>
      <c r="F175" s="13"/>
      <c r="G175" s="16"/>
      <c r="H175" s="16"/>
      <c r="I175" s="22" t="str">
        <f t="shared" si="5"/>
        <v/>
      </c>
      <c r="J175" s="13"/>
      <c r="K175" s="24"/>
      <c r="L175" s="13"/>
      <c r="M175" s="13"/>
      <c r="N175" s="13"/>
      <c r="O175" s="31"/>
      <c r="P175" s="31"/>
      <c r="Q175" s="31"/>
      <c r="R175" s="31"/>
      <c r="S175" s="31"/>
      <c r="T175" s="31"/>
      <c r="U175" s="31"/>
    </row>
    <row r="176" spans="1:21" ht="20.100000000000001" customHeight="1">
      <c r="A176" s="13"/>
      <c r="B176" s="13"/>
      <c r="C176" s="13"/>
      <c r="D176" s="13"/>
      <c r="E176" s="13"/>
      <c r="F176" s="13"/>
      <c r="G176" s="16"/>
      <c r="H176" s="16"/>
      <c r="I176" s="22" t="str">
        <f t="shared" si="5"/>
        <v/>
      </c>
      <c r="J176" s="13"/>
      <c r="K176" s="24"/>
      <c r="L176" s="13"/>
      <c r="M176" s="13"/>
      <c r="N176" s="13"/>
      <c r="O176" s="31"/>
      <c r="P176" s="31"/>
      <c r="Q176" s="31"/>
      <c r="R176" s="31"/>
      <c r="S176" s="31"/>
      <c r="T176" s="31"/>
      <c r="U176" s="31"/>
    </row>
    <row r="177" spans="1:21" ht="20.100000000000001" customHeight="1">
      <c r="A177" s="13"/>
      <c r="B177" s="13"/>
      <c r="C177" s="13"/>
      <c r="D177" s="13"/>
      <c r="E177" s="13"/>
      <c r="F177" s="13"/>
      <c r="G177" s="16"/>
      <c r="H177" s="16"/>
      <c r="I177" s="22" t="str">
        <f t="shared" si="5"/>
        <v/>
      </c>
      <c r="J177" s="13"/>
      <c r="K177" s="24"/>
      <c r="L177" s="13"/>
      <c r="M177" s="13"/>
      <c r="N177" s="13"/>
      <c r="O177" s="31"/>
      <c r="P177" s="31"/>
      <c r="Q177" s="31"/>
      <c r="R177" s="31"/>
      <c r="S177" s="31"/>
      <c r="T177" s="31"/>
      <c r="U177" s="31"/>
    </row>
    <row r="178" spans="1:21" ht="20.100000000000001" customHeight="1">
      <c r="A178" s="13"/>
      <c r="B178" s="13"/>
      <c r="C178" s="13"/>
      <c r="D178" s="13"/>
      <c r="E178" s="13"/>
      <c r="F178" s="13"/>
      <c r="G178" s="16"/>
      <c r="H178" s="16"/>
      <c r="I178" s="22" t="str">
        <f t="shared" si="5"/>
        <v/>
      </c>
      <c r="J178" s="13"/>
      <c r="K178" s="24"/>
      <c r="L178" s="13"/>
      <c r="M178" s="13"/>
      <c r="N178" s="13"/>
      <c r="O178" s="31"/>
      <c r="P178" s="31"/>
      <c r="Q178" s="31"/>
      <c r="R178" s="31"/>
      <c r="S178" s="31"/>
      <c r="T178" s="31"/>
      <c r="U178" s="31"/>
    </row>
    <row r="179" spans="1:21" ht="20.100000000000001" customHeight="1">
      <c r="A179" s="13"/>
      <c r="B179" s="13"/>
      <c r="C179" s="13"/>
      <c r="D179" s="13"/>
      <c r="E179" s="13"/>
      <c r="F179" s="13"/>
      <c r="G179" s="16"/>
      <c r="H179" s="16"/>
      <c r="I179" s="22" t="str">
        <f t="shared" si="5"/>
        <v/>
      </c>
      <c r="J179" s="13"/>
      <c r="K179" s="24"/>
      <c r="L179" s="13"/>
      <c r="M179" s="13"/>
      <c r="N179" s="13"/>
      <c r="O179" s="31"/>
      <c r="P179" s="31"/>
      <c r="Q179" s="31"/>
      <c r="R179" s="31"/>
      <c r="S179" s="31"/>
      <c r="T179" s="31"/>
      <c r="U179" s="31"/>
    </row>
    <row r="180" spans="1:21" ht="20.100000000000001" customHeight="1">
      <c r="A180" s="13"/>
      <c r="B180" s="13"/>
      <c r="C180" s="13"/>
      <c r="D180" s="13"/>
      <c r="E180" s="13"/>
      <c r="F180" s="13"/>
      <c r="G180" s="16"/>
      <c r="H180" s="16"/>
      <c r="I180" s="22" t="str">
        <f t="shared" si="5"/>
        <v/>
      </c>
      <c r="J180" s="13"/>
      <c r="K180" s="24"/>
      <c r="L180" s="13"/>
      <c r="M180" s="13"/>
      <c r="N180" s="13"/>
      <c r="O180" s="31"/>
      <c r="P180" s="31"/>
      <c r="Q180" s="31"/>
      <c r="R180" s="31"/>
      <c r="S180" s="31"/>
      <c r="T180" s="31"/>
      <c r="U180" s="31"/>
    </row>
    <row r="181" spans="1:21" ht="20.100000000000001" customHeight="1">
      <c r="A181" s="13"/>
      <c r="B181" s="13"/>
      <c r="C181" s="13"/>
      <c r="D181" s="13"/>
      <c r="E181" s="13"/>
      <c r="F181" s="13"/>
      <c r="G181" s="16"/>
      <c r="H181" s="16"/>
      <c r="I181" s="22" t="str">
        <f t="shared" si="5"/>
        <v/>
      </c>
      <c r="J181" s="13"/>
      <c r="K181" s="24"/>
      <c r="L181" s="13"/>
      <c r="M181" s="13"/>
      <c r="N181" s="13"/>
      <c r="O181" s="31"/>
      <c r="P181" s="31"/>
      <c r="Q181" s="31"/>
      <c r="R181" s="31"/>
      <c r="S181" s="31"/>
      <c r="T181" s="31"/>
      <c r="U181" s="31"/>
    </row>
    <row r="182" spans="1:21" ht="20.100000000000001" customHeight="1">
      <c r="A182" s="13"/>
      <c r="B182" s="13"/>
      <c r="C182" s="13"/>
      <c r="D182" s="13"/>
      <c r="E182" s="13"/>
      <c r="F182" s="13"/>
      <c r="G182" s="16"/>
      <c r="H182" s="16"/>
      <c r="I182" s="22" t="str">
        <f t="shared" si="5"/>
        <v/>
      </c>
      <c r="J182" s="13"/>
      <c r="K182" s="24"/>
      <c r="L182" s="13"/>
      <c r="M182" s="13"/>
      <c r="N182" s="13"/>
      <c r="O182" s="31"/>
      <c r="P182" s="31"/>
      <c r="Q182" s="31"/>
      <c r="R182" s="31"/>
      <c r="S182" s="31"/>
      <c r="T182" s="31"/>
      <c r="U182" s="31"/>
    </row>
    <row r="183" spans="1:21" ht="20.100000000000001" customHeight="1">
      <c r="A183" s="13"/>
      <c r="B183" s="13"/>
      <c r="C183" s="13"/>
      <c r="D183" s="13"/>
      <c r="E183" s="13"/>
      <c r="F183" s="13"/>
      <c r="G183" s="16"/>
      <c r="H183" s="16"/>
      <c r="I183" s="22" t="str">
        <f t="shared" si="5"/>
        <v/>
      </c>
      <c r="J183" s="13"/>
      <c r="K183" s="24"/>
      <c r="L183" s="13"/>
      <c r="M183" s="13"/>
      <c r="N183" s="13"/>
      <c r="O183" s="31"/>
      <c r="P183" s="31"/>
      <c r="Q183" s="31"/>
      <c r="R183" s="31"/>
      <c r="S183" s="31"/>
      <c r="T183" s="31"/>
      <c r="U183" s="31"/>
    </row>
    <row r="184" spans="1:21" ht="20.100000000000001" customHeight="1">
      <c r="A184" s="13"/>
      <c r="B184" s="13"/>
      <c r="C184" s="13"/>
      <c r="D184" s="13"/>
      <c r="E184" s="13"/>
      <c r="F184" s="13"/>
      <c r="G184" s="16"/>
      <c r="H184" s="16"/>
      <c r="I184" s="22" t="str">
        <f t="shared" si="5"/>
        <v/>
      </c>
      <c r="J184" s="13"/>
      <c r="K184" s="24"/>
      <c r="L184" s="13"/>
      <c r="M184" s="13"/>
      <c r="N184" s="13"/>
      <c r="O184" s="31"/>
      <c r="P184" s="31"/>
      <c r="Q184" s="31"/>
      <c r="R184" s="31"/>
      <c r="S184" s="31"/>
      <c r="T184" s="31"/>
      <c r="U184" s="31"/>
    </row>
    <row r="185" spans="1:21" ht="20.100000000000001" customHeight="1">
      <c r="A185" s="13"/>
      <c r="B185" s="13"/>
      <c r="C185" s="13"/>
      <c r="D185" s="13"/>
      <c r="E185" s="13"/>
      <c r="F185" s="13"/>
      <c r="G185" s="16"/>
      <c r="H185" s="16"/>
      <c r="I185" s="22" t="str">
        <f t="shared" si="5"/>
        <v/>
      </c>
      <c r="J185" s="13"/>
      <c r="K185" s="24"/>
      <c r="L185" s="13"/>
      <c r="M185" s="13"/>
      <c r="N185" s="13"/>
      <c r="O185" s="31"/>
      <c r="P185" s="31"/>
      <c r="Q185" s="31"/>
      <c r="R185" s="31"/>
      <c r="S185" s="31"/>
      <c r="T185" s="31"/>
      <c r="U185" s="31"/>
    </row>
    <row r="186" spans="1:21" ht="20.100000000000001" customHeight="1">
      <c r="A186" s="13"/>
      <c r="B186" s="13"/>
      <c r="C186" s="13"/>
      <c r="D186" s="13"/>
      <c r="E186" s="13"/>
      <c r="F186" s="13"/>
      <c r="G186" s="16"/>
      <c r="H186" s="16"/>
      <c r="I186" s="22" t="str">
        <f t="shared" si="5"/>
        <v/>
      </c>
      <c r="J186" s="13"/>
      <c r="K186" s="24"/>
      <c r="L186" s="13"/>
      <c r="M186" s="13"/>
      <c r="N186" s="13"/>
      <c r="O186" s="31"/>
      <c r="P186" s="31"/>
      <c r="Q186" s="31"/>
      <c r="R186" s="31"/>
      <c r="S186" s="31"/>
      <c r="T186" s="31"/>
      <c r="U186" s="31"/>
    </row>
    <row r="187" spans="1:21" ht="20.100000000000001" customHeight="1">
      <c r="A187" s="13"/>
      <c r="B187" s="13"/>
      <c r="C187" s="13"/>
      <c r="D187" s="13"/>
      <c r="E187" s="13"/>
      <c r="F187" s="13"/>
      <c r="G187" s="16"/>
      <c r="H187" s="16"/>
      <c r="I187" s="22" t="str">
        <f t="shared" si="5"/>
        <v/>
      </c>
      <c r="J187" s="13"/>
      <c r="K187" s="24"/>
      <c r="L187" s="13"/>
      <c r="M187" s="13"/>
      <c r="N187" s="13"/>
      <c r="O187" s="31"/>
      <c r="P187" s="31"/>
      <c r="Q187" s="31"/>
      <c r="R187" s="31"/>
      <c r="S187" s="31"/>
      <c r="T187" s="31"/>
      <c r="U187" s="31"/>
    </row>
    <row r="188" spans="1:21" ht="20.100000000000001" customHeight="1">
      <c r="A188" s="13"/>
      <c r="B188" s="13"/>
      <c r="C188" s="13"/>
      <c r="D188" s="13"/>
      <c r="E188" s="13"/>
      <c r="F188" s="13"/>
      <c r="G188" s="16"/>
      <c r="H188" s="16"/>
      <c r="I188" s="22" t="str">
        <f t="shared" si="5"/>
        <v/>
      </c>
      <c r="J188" s="13"/>
      <c r="K188" s="24"/>
      <c r="L188" s="13"/>
      <c r="M188" s="13"/>
      <c r="N188" s="13"/>
      <c r="O188" s="31"/>
      <c r="P188" s="31"/>
      <c r="Q188" s="31"/>
      <c r="R188" s="31"/>
      <c r="S188" s="31"/>
      <c r="T188" s="31"/>
      <c r="U188" s="31"/>
    </row>
    <row r="189" spans="1:21" ht="20.100000000000001" customHeight="1">
      <c r="A189" s="13"/>
      <c r="B189" s="13"/>
      <c r="C189" s="13"/>
      <c r="D189" s="13"/>
      <c r="E189" s="13"/>
      <c r="F189" s="13"/>
      <c r="G189" s="16"/>
      <c r="H189" s="16"/>
      <c r="I189" s="22" t="str">
        <f t="shared" si="5"/>
        <v/>
      </c>
      <c r="J189" s="13"/>
      <c r="K189" s="24"/>
      <c r="L189" s="13"/>
      <c r="M189" s="13"/>
      <c r="N189" s="13"/>
      <c r="O189" s="31"/>
      <c r="P189" s="31"/>
      <c r="Q189" s="31"/>
      <c r="R189" s="31"/>
      <c r="S189" s="31"/>
      <c r="T189" s="31"/>
      <c r="U189" s="31"/>
    </row>
    <row r="190" spans="1:21" ht="20.100000000000001" customHeight="1">
      <c r="A190" s="13"/>
      <c r="B190" s="13"/>
      <c r="C190" s="13"/>
      <c r="D190" s="13"/>
      <c r="E190" s="13"/>
      <c r="F190" s="13"/>
      <c r="G190" s="16"/>
      <c r="H190" s="16"/>
      <c r="I190" s="22" t="str">
        <f t="shared" si="5"/>
        <v/>
      </c>
      <c r="J190" s="13"/>
      <c r="K190" s="24"/>
      <c r="L190" s="13"/>
      <c r="M190" s="13"/>
      <c r="N190" s="13"/>
      <c r="O190" s="31"/>
      <c r="P190" s="31"/>
      <c r="Q190" s="31"/>
      <c r="R190" s="31"/>
      <c r="S190" s="31"/>
      <c r="T190" s="31"/>
      <c r="U190" s="31"/>
    </row>
    <row r="191" spans="1:21" ht="20.100000000000001" customHeight="1">
      <c r="A191" s="13"/>
      <c r="B191" s="13"/>
      <c r="C191" s="13"/>
      <c r="D191" s="13"/>
      <c r="E191" s="13"/>
      <c r="F191" s="13"/>
      <c r="G191" s="16"/>
      <c r="H191" s="16"/>
      <c r="I191" s="22" t="str">
        <f t="shared" si="5"/>
        <v/>
      </c>
      <c r="J191" s="13"/>
      <c r="K191" s="24"/>
      <c r="L191" s="13"/>
      <c r="M191" s="13"/>
      <c r="N191" s="13"/>
      <c r="O191" s="31"/>
      <c r="P191" s="31"/>
      <c r="Q191" s="31"/>
      <c r="R191" s="31"/>
      <c r="S191" s="31"/>
      <c r="T191" s="31"/>
      <c r="U191" s="31"/>
    </row>
    <row r="192" spans="1:21" ht="20.100000000000001" customHeight="1">
      <c r="A192" s="13"/>
      <c r="B192" s="13"/>
      <c r="C192" s="13"/>
      <c r="D192" s="13"/>
      <c r="E192" s="13"/>
      <c r="F192" s="13"/>
      <c r="G192" s="16"/>
      <c r="H192" s="16"/>
      <c r="I192" s="22" t="str">
        <f t="shared" si="5"/>
        <v/>
      </c>
      <c r="J192" s="13"/>
      <c r="K192" s="24"/>
      <c r="L192" s="13"/>
      <c r="M192" s="13"/>
      <c r="N192" s="13"/>
      <c r="O192" s="31"/>
      <c r="P192" s="31"/>
      <c r="Q192" s="31"/>
      <c r="R192" s="31"/>
      <c r="S192" s="31"/>
      <c r="T192" s="31"/>
      <c r="U192" s="31"/>
    </row>
    <row r="193" spans="1:21" ht="20.100000000000001" customHeight="1">
      <c r="A193" s="13"/>
      <c r="B193" s="13"/>
      <c r="C193" s="13"/>
      <c r="D193" s="13"/>
      <c r="E193" s="13"/>
      <c r="F193" s="13"/>
      <c r="G193" s="16"/>
      <c r="H193" s="16"/>
      <c r="I193" s="22" t="str">
        <f t="shared" si="5"/>
        <v/>
      </c>
      <c r="J193" s="13"/>
      <c r="K193" s="24"/>
      <c r="L193" s="13"/>
      <c r="M193" s="13"/>
      <c r="N193" s="13"/>
      <c r="O193" s="31"/>
      <c r="P193" s="31"/>
      <c r="Q193" s="31"/>
      <c r="R193" s="31"/>
      <c r="S193" s="31"/>
      <c r="T193" s="31"/>
      <c r="U193" s="31"/>
    </row>
    <row r="194" spans="1:21" ht="20.100000000000001" customHeight="1">
      <c r="A194" s="13"/>
      <c r="B194" s="13"/>
      <c r="C194" s="13"/>
      <c r="D194" s="13"/>
      <c r="E194" s="13"/>
      <c r="F194" s="13"/>
      <c r="G194" s="16"/>
      <c r="H194" s="16"/>
      <c r="I194" s="22" t="str">
        <f t="shared" si="5"/>
        <v/>
      </c>
      <c r="J194" s="13"/>
      <c r="K194" s="24"/>
      <c r="L194" s="13"/>
      <c r="M194" s="13"/>
      <c r="N194" s="13"/>
      <c r="O194" s="31"/>
      <c r="P194" s="31"/>
      <c r="Q194" s="31"/>
      <c r="R194" s="31"/>
      <c r="S194" s="31"/>
      <c r="T194" s="31"/>
      <c r="U194" s="31"/>
    </row>
    <row r="195" spans="1:21" ht="20.100000000000001" customHeight="1">
      <c r="A195" s="13"/>
      <c r="B195" s="13"/>
      <c r="C195" s="13"/>
      <c r="D195" s="13"/>
      <c r="E195" s="13"/>
      <c r="F195" s="13"/>
      <c r="G195" s="16"/>
      <c r="H195" s="16"/>
      <c r="I195" s="22" t="str">
        <f t="shared" si="5"/>
        <v/>
      </c>
      <c r="J195" s="13"/>
      <c r="K195" s="24"/>
      <c r="L195" s="13"/>
      <c r="M195" s="13"/>
      <c r="N195" s="13"/>
      <c r="O195" s="31"/>
      <c r="P195" s="31"/>
      <c r="Q195" s="31"/>
      <c r="R195" s="31"/>
      <c r="S195" s="31"/>
      <c r="T195" s="31"/>
      <c r="U195" s="31"/>
    </row>
    <row r="196" spans="1:21" ht="20.100000000000001" customHeight="1">
      <c r="A196" s="13"/>
      <c r="B196" s="13"/>
      <c r="C196" s="13"/>
      <c r="D196" s="13"/>
      <c r="E196" s="13"/>
      <c r="F196" s="13"/>
      <c r="G196" s="16"/>
      <c r="H196" s="16"/>
      <c r="I196" s="22" t="str">
        <f t="shared" si="5"/>
        <v/>
      </c>
      <c r="J196" s="13"/>
      <c r="K196" s="24"/>
      <c r="L196" s="13"/>
      <c r="M196" s="13"/>
      <c r="N196" s="13"/>
      <c r="O196" s="31"/>
      <c r="P196" s="31"/>
      <c r="Q196" s="31"/>
      <c r="R196" s="31"/>
      <c r="S196" s="31"/>
      <c r="T196" s="31"/>
      <c r="U196" s="31"/>
    </row>
    <row r="197" spans="1:21" ht="20.100000000000001" customHeight="1">
      <c r="A197" s="13"/>
      <c r="B197" s="13"/>
      <c r="C197" s="13"/>
      <c r="D197" s="13"/>
      <c r="E197" s="13"/>
      <c r="F197" s="13"/>
      <c r="G197" s="16"/>
      <c r="H197" s="16"/>
      <c r="I197" s="22" t="str">
        <f t="shared" si="5"/>
        <v/>
      </c>
      <c r="J197" s="13"/>
      <c r="K197" s="24"/>
      <c r="L197" s="13"/>
      <c r="M197" s="13"/>
      <c r="N197" s="13"/>
      <c r="O197" s="31"/>
      <c r="P197" s="31"/>
      <c r="Q197" s="31"/>
      <c r="R197" s="31"/>
      <c r="S197" s="31"/>
      <c r="T197" s="31"/>
      <c r="U197" s="31"/>
    </row>
    <row r="198" spans="1:21" ht="20.100000000000001" customHeight="1">
      <c r="A198" s="13"/>
      <c r="B198" s="13"/>
      <c r="C198" s="13"/>
      <c r="D198" s="13"/>
      <c r="E198" s="13"/>
      <c r="F198" s="13"/>
      <c r="G198" s="16"/>
      <c r="H198" s="16"/>
      <c r="I198" s="22" t="str">
        <f t="shared" ref="I198:I229" si="6">IF(A198="","",IF(OR(G198="",H198=""),"",G198*H198))</f>
        <v/>
      </c>
      <c r="J198" s="13"/>
      <c r="K198" s="24"/>
      <c r="L198" s="13"/>
      <c r="M198" s="13"/>
      <c r="N198" s="13"/>
      <c r="O198" s="31"/>
      <c r="P198" s="31"/>
      <c r="Q198" s="31"/>
      <c r="R198" s="31"/>
      <c r="S198" s="31"/>
      <c r="T198" s="31"/>
      <c r="U198" s="31"/>
    </row>
    <row r="199" spans="1:21" ht="20.100000000000001" customHeight="1">
      <c r="A199" s="13"/>
      <c r="B199" s="13"/>
      <c r="C199" s="13"/>
      <c r="D199" s="13"/>
      <c r="E199" s="13"/>
      <c r="F199" s="13"/>
      <c r="G199" s="16"/>
      <c r="H199" s="16"/>
      <c r="I199" s="22" t="str">
        <f t="shared" si="6"/>
        <v/>
      </c>
      <c r="J199" s="13"/>
      <c r="K199" s="24"/>
      <c r="L199" s="13"/>
      <c r="M199" s="13"/>
      <c r="N199" s="13"/>
      <c r="O199" s="31"/>
      <c r="P199" s="31"/>
      <c r="Q199" s="31"/>
      <c r="R199" s="31"/>
      <c r="S199" s="31"/>
      <c r="T199" s="31"/>
      <c r="U199" s="31"/>
    </row>
    <row r="200" spans="1:21" ht="20.100000000000001" customHeight="1">
      <c r="A200" s="13"/>
      <c r="B200" s="13"/>
      <c r="C200" s="13"/>
      <c r="D200" s="13"/>
      <c r="E200" s="13"/>
      <c r="F200" s="13"/>
      <c r="G200" s="16"/>
      <c r="H200" s="16"/>
      <c r="I200" s="22" t="str">
        <f t="shared" si="6"/>
        <v/>
      </c>
      <c r="J200" s="13"/>
      <c r="K200" s="24"/>
      <c r="L200" s="13"/>
      <c r="M200" s="13"/>
      <c r="N200" s="13"/>
      <c r="O200" s="31"/>
      <c r="P200" s="31"/>
      <c r="Q200" s="31"/>
      <c r="R200" s="31"/>
      <c r="S200" s="31"/>
      <c r="T200" s="31"/>
      <c r="U200" s="31"/>
    </row>
    <row r="201" spans="1:21" ht="20.100000000000001" customHeight="1">
      <c r="A201" s="13"/>
      <c r="B201" s="13"/>
      <c r="C201" s="13"/>
      <c r="D201" s="13"/>
      <c r="E201" s="13"/>
      <c r="F201" s="13"/>
      <c r="G201" s="16"/>
      <c r="H201" s="16"/>
      <c r="I201" s="22" t="str">
        <f t="shared" si="6"/>
        <v/>
      </c>
      <c r="J201" s="13"/>
      <c r="K201" s="24"/>
      <c r="L201" s="13"/>
      <c r="M201" s="13"/>
      <c r="N201" s="13"/>
      <c r="O201" s="31"/>
      <c r="P201" s="31"/>
      <c r="Q201" s="31"/>
      <c r="R201" s="31"/>
      <c r="S201" s="31"/>
      <c r="T201" s="31"/>
      <c r="U201" s="31"/>
    </row>
    <row r="202" spans="1:21" ht="20.100000000000001" customHeight="1">
      <c r="A202" s="13"/>
      <c r="B202" s="13"/>
      <c r="C202" s="13"/>
      <c r="D202" s="13"/>
      <c r="E202" s="13"/>
      <c r="F202" s="13"/>
      <c r="G202" s="16"/>
      <c r="H202" s="16"/>
      <c r="I202" s="22" t="str">
        <f t="shared" si="6"/>
        <v/>
      </c>
      <c r="J202" s="13"/>
      <c r="K202" s="24"/>
      <c r="L202" s="13"/>
      <c r="M202" s="13"/>
      <c r="N202" s="13"/>
      <c r="O202" s="31"/>
      <c r="P202" s="31"/>
      <c r="Q202" s="31"/>
      <c r="R202" s="31"/>
      <c r="S202" s="31"/>
      <c r="T202" s="31"/>
      <c r="U202" s="31"/>
    </row>
    <row r="203" spans="1:21" ht="20.100000000000001" customHeight="1">
      <c r="A203" s="13"/>
      <c r="B203" s="13"/>
      <c r="C203" s="13"/>
      <c r="D203" s="13"/>
      <c r="E203" s="13"/>
      <c r="F203" s="13"/>
      <c r="G203" s="16"/>
      <c r="H203" s="16"/>
      <c r="I203" s="22" t="str">
        <f t="shared" si="6"/>
        <v/>
      </c>
      <c r="J203" s="13"/>
      <c r="K203" s="24"/>
      <c r="L203" s="13"/>
      <c r="M203" s="13"/>
      <c r="N203" s="13"/>
      <c r="O203" s="31"/>
      <c r="P203" s="31"/>
      <c r="Q203" s="31"/>
      <c r="R203" s="31"/>
      <c r="S203" s="31"/>
      <c r="T203" s="31"/>
      <c r="U203" s="31"/>
    </row>
    <row r="204" spans="1:21" ht="20.100000000000001" customHeight="1">
      <c r="A204" s="13"/>
      <c r="B204" s="13"/>
      <c r="C204" s="13"/>
      <c r="D204" s="13"/>
      <c r="E204" s="13"/>
      <c r="F204" s="13"/>
      <c r="G204" s="16"/>
      <c r="H204" s="16"/>
      <c r="I204" s="22" t="str">
        <f t="shared" si="6"/>
        <v/>
      </c>
      <c r="J204" s="13"/>
      <c r="K204" s="24"/>
      <c r="L204" s="13"/>
      <c r="M204" s="13"/>
      <c r="N204" s="13"/>
      <c r="O204" s="31"/>
      <c r="P204" s="31"/>
      <c r="Q204" s="31"/>
      <c r="R204" s="31"/>
      <c r="S204" s="31"/>
      <c r="T204" s="31"/>
      <c r="U204" s="31"/>
    </row>
    <row r="205" spans="1:21" ht="20.100000000000001" customHeight="1">
      <c r="A205" s="14"/>
      <c r="B205" s="14"/>
      <c r="C205" s="14"/>
      <c r="D205" s="14"/>
      <c r="E205" s="14"/>
      <c r="F205" s="14"/>
      <c r="G205" s="17"/>
      <c r="H205" s="17"/>
      <c r="I205" s="22" t="str">
        <f t="shared" si="6"/>
        <v/>
      </c>
      <c r="J205" s="14"/>
      <c r="K205" s="25"/>
      <c r="L205" s="14"/>
      <c r="M205" s="14"/>
      <c r="N205" s="14"/>
      <c r="O205" s="31"/>
      <c r="P205" s="31"/>
      <c r="Q205" s="31"/>
      <c r="R205" s="31"/>
      <c r="S205" s="31"/>
      <c r="T205" s="31"/>
      <c r="U205" s="3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Listák!$G$2:$G$3</xm:f>
          </x14:formula1>
          <xm:sqref>J6:J205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2:U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3" width="18" customWidth="1"/>
    <col min="4" max="4" width="20" customWidth="1"/>
    <col min="5" max="5" width="22" customWidth="1"/>
    <col min="6" max="6" width="18" customWidth="1"/>
    <col min="7" max="7" width="14" customWidth="1"/>
    <col min="8" max="8" width="16" customWidth="1"/>
    <col min="9" max="9" width="14" customWidth="1"/>
    <col min="10" max="10" width="22" customWidth="1"/>
    <col min="11" max="12" width="20" customWidth="1"/>
    <col min="13" max="13" width="22" customWidth="1"/>
    <col min="14" max="14" width="18" customWidth="1"/>
    <col min="15" max="15" width="14" customWidth="1"/>
    <col min="16" max="16" width="20" customWidth="1"/>
    <col min="17" max="17" width="16" customWidth="1"/>
    <col min="18" max="19" width="25" customWidth="1"/>
    <col min="20" max="20" width="15" customWidth="1"/>
    <col min="21" max="21" width="34" customWidth="1"/>
  </cols>
  <sheetData>
    <row r="2" spans="1:21" ht="19.5">
      <c r="A2" s="2" t="s">
        <v>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3" t="s">
        <v>76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5" spans="1:21" ht="42" customHeight="1">
      <c r="A5" s="9" t="s">
        <v>77</v>
      </c>
      <c r="B5" s="10" t="s">
        <v>66</v>
      </c>
      <c r="C5" s="10" t="s">
        <v>39</v>
      </c>
      <c r="D5" s="10" t="s">
        <v>78</v>
      </c>
      <c r="E5" s="10" t="s">
        <v>79</v>
      </c>
      <c r="F5" s="10" t="s">
        <v>80</v>
      </c>
      <c r="G5" s="10" t="s">
        <v>81</v>
      </c>
      <c r="H5" s="10" t="s">
        <v>82</v>
      </c>
      <c r="I5" s="10" t="s">
        <v>83</v>
      </c>
      <c r="J5" s="10" t="s">
        <v>84</v>
      </c>
      <c r="K5" s="10" t="s">
        <v>85</v>
      </c>
      <c r="L5" s="10" t="s">
        <v>86</v>
      </c>
      <c r="M5" s="10" t="s">
        <v>87</v>
      </c>
      <c r="N5" s="10" t="s">
        <v>88</v>
      </c>
      <c r="O5" s="10" t="s">
        <v>89</v>
      </c>
      <c r="P5" s="10" t="s">
        <v>90</v>
      </c>
      <c r="Q5" s="10" t="s">
        <v>49</v>
      </c>
      <c r="R5" s="10" t="s">
        <v>50</v>
      </c>
      <c r="S5" s="10" t="s">
        <v>51</v>
      </c>
      <c r="T5" s="10" t="s">
        <v>91</v>
      </c>
      <c r="U5" s="11" t="s">
        <v>37</v>
      </c>
    </row>
    <row r="6" spans="1:21" ht="20.100000000000001" customHeight="1">
      <c r="A6" s="12"/>
      <c r="B6" s="12"/>
      <c r="C6" s="12"/>
      <c r="D6" s="12"/>
      <c r="E6" s="12"/>
      <c r="F6" s="12"/>
      <c r="G6" s="15"/>
      <c r="H6" s="15"/>
      <c r="I6" s="15"/>
      <c r="J6" s="15"/>
      <c r="K6" s="22" t="str">
        <f t="shared" ref="K6:K37" si="0">IF(A6="","",IF(J6&lt;&gt;"",J6,IF(OR(H6="",I6=""),"",H6*I6)))</f>
        <v/>
      </c>
      <c r="L6" s="22" t="str">
        <f>IF(A6="","",SUMIF(Nyílászárók!$C$6:$C$205,A6,Nyílászárók!$I$6:$I$205))</f>
        <v/>
      </c>
      <c r="M6" s="22" t="str">
        <f t="shared" ref="M6:M37" si="1">IF(A6="","",IF(K6="","",K6-L6))</f>
        <v/>
      </c>
      <c r="N6" s="15"/>
      <c r="O6" s="15"/>
      <c r="P6" s="15"/>
      <c r="Q6" s="12"/>
      <c r="R6" s="12"/>
      <c r="S6" s="12"/>
      <c r="T6" s="12"/>
      <c r="U6" s="12"/>
    </row>
    <row r="7" spans="1:21" ht="20.100000000000001" customHeight="1">
      <c r="A7" s="13"/>
      <c r="B7" s="13"/>
      <c r="C7" s="13"/>
      <c r="D7" s="13"/>
      <c r="E7" s="13"/>
      <c r="F7" s="13"/>
      <c r="G7" s="16"/>
      <c r="H7" s="16"/>
      <c r="I7" s="16"/>
      <c r="J7" s="16"/>
      <c r="K7" s="22" t="str">
        <f t="shared" si="0"/>
        <v/>
      </c>
      <c r="L7" s="22" t="str">
        <f>IF(A7="","",SUMIF(Nyílászárók!$C$6:$C$205,A7,Nyílászárók!$I$6:$I$205))</f>
        <v/>
      </c>
      <c r="M7" s="22" t="str">
        <f t="shared" si="1"/>
        <v/>
      </c>
      <c r="N7" s="16"/>
      <c r="O7" s="16"/>
      <c r="P7" s="16"/>
      <c r="Q7" s="13"/>
      <c r="R7" s="13"/>
      <c r="S7" s="13"/>
      <c r="T7" s="13"/>
      <c r="U7" s="13"/>
    </row>
    <row r="8" spans="1:21" ht="20.100000000000001" customHeight="1">
      <c r="A8" s="13"/>
      <c r="B8" s="13"/>
      <c r="C8" s="13"/>
      <c r="D8" s="13"/>
      <c r="E8" s="13"/>
      <c r="F8" s="13"/>
      <c r="G8" s="16"/>
      <c r="H8" s="16"/>
      <c r="I8" s="16"/>
      <c r="J8" s="16"/>
      <c r="K8" s="22" t="str">
        <f t="shared" si="0"/>
        <v/>
      </c>
      <c r="L8" s="22" t="str">
        <f>IF(A8="","",SUMIF(Nyílászárók!$C$6:$C$205,A8,Nyílászárók!$I$6:$I$205))</f>
        <v/>
      </c>
      <c r="M8" s="22" t="str">
        <f t="shared" si="1"/>
        <v/>
      </c>
      <c r="N8" s="16"/>
      <c r="O8" s="16"/>
      <c r="P8" s="16"/>
      <c r="Q8" s="13"/>
      <c r="R8" s="13"/>
      <c r="S8" s="13"/>
      <c r="T8" s="13"/>
      <c r="U8" s="13"/>
    </row>
    <row r="9" spans="1:21" ht="20.100000000000001" customHeight="1">
      <c r="A9" s="13"/>
      <c r="B9" s="13"/>
      <c r="C9" s="13"/>
      <c r="D9" s="13"/>
      <c r="E9" s="13"/>
      <c r="F9" s="13"/>
      <c r="G9" s="16"/>
      <c r="H9" s="16"/>
      <c r="I9" s="16"/>
      <c r="J9" s="16"/>
      <c r="K9" s="22" t="str">
        <f t="shared" si="0"/>
        <v/>
      </c>
      <c r="L9" s="22" t="str">
        <f>IF(A9="","",SUMIF(Nyílászárók!$C$6:$C$205,A9,Nyílászárók!$I$6:$I$205))</f>
        <v/>
      </c>
      <c r="M9" s="22" t="str">
        <f t="shared" si="1"/>
        <v/>
      </c>
      <c r="N9" s="16"/>
      <c r="O9" s="16"/>
      <c r="P9" s="16"/>
      <c r="Q9" s="13"/>
      <c r="R9" s="13"/>
      <c r="S9" s="13"/>
      <c r="T9" s="13"/>
      <c r="U9" s="13"/>
    </row>
    <row r="10" spans="1:21" ht="20.100000000000001" customHeight="1">
      <c r="A10" s="13"/>
      <c r="B10" s="13"/>
      <c r="C10" s="13"/>
      <c r="D10" s="13"/>
      <c r="E10" s="13"/>
      <c r="F10" s="13"/>
      <c r="G10" s="16"/>
      <c r="H10" s="16"/>
      <c r="I10" s="16"/>
      <c r="J10" s="16"/>
      <c r="K10" s="22" t="str">
        <f t="shared" si="0"/>
        <v/>
      </c>
      <c r="L10" s="22" t="str">
        <f>IF(A10="","",SUMIF(Nyílászárók!$C$6:$C$205,A10,Nyílászárók!$I$6:$I$205))</f>
        <v/>
      </c>
      <c r="M10" s="22" t="str">
        <f t="shared" si="1"/>
        <v/>
      </c>
      <c r="N10" s="16"/>
      <c r="O10" s="16"/>
      <c r="P10" s="16"/>
      <c r="Q10" s="13"/>
      <c r="R10" s="13"/>
      <c r="S10" s="13"/>
      <c r="T10" s="13"/>
      <c r="U10" s="13"/>
    </row>
    <row r="11" spans="1:21" ht="20.100000000000001" customHeight="1">
      <c r="A11" s="13"/>
      <c r="B11" s="13"/>
      <c r="C11" s="13"/>
      <c r="D11" s="13"/>
      <c r="E11" s="13"/>
      <c r="F11" s="13"/>
      <c r="G11" s="16"/>
      <c r="H11" s="16"/>
      <c r="I11" s="16"/>
      <c r="J11" s="16"/>
      <c r="K11" s="22" t="str">
        <f t="shared" si="0"/>
        <v/>
      </c>
      <c r="L11" s="22" t="str">
        <f>IF(A11="","",SUMIF(Nyílászárók!$C$6:$C$205,A11,Nyílászárók!$I$6:$I$205))</f>
        <v/>
      </c>
      <c r="M11" s="22" t="str">
        <f t="shared" si="1"/>
        <v/>
      </c>
      <c r="N11" s="16"/>
      <c r="O11" s="16"/>
      <c r="P11" s="16"/>
      <c r="Q11" s="13"/>
      <c r="R11" s="13"/>
      <c r="S11" s="13"/>
      <c r="T11" s="13"/>
      <c r="U11" s="13"/>
    </row>
    <row r="12" spans="1:21" ht="20.100000000000001" customHeight="1">
      <c r="A12" s="13"/>
      <c r="B12" s="13"/>
      <c r="C12" s="13"/>
      <c r="D12" s="13"/>
      <c r="E12" s="13"/>
      <c r="F12" s="13"/>
      <c r="G12" s="16"/>
      <c r="H12" s="16"/>
      <c r="I12" s="16"/>
      <c r="J12" s="16"/>
      <c r="K12" s="22" t="str">
        <f t="shared" si="0"/>
        <v/>
      </c>
      <c r="L12" s="22" t="str">
        <f>IF(A12="","",SUMIF(Nyílászárók!$C$6:$C$205,A12,Nyílászárók!$I$6:$I$205))</f>
        <v/>
      </c>
      <c r="M12" s="22" t="str">
        <f t="shared" si="1"/>
        <v/>
      </c>
      <c r="N12" s="16"/>
      <c r="O12" s="16"/>
      <c r="P12" s="16"/>
      <c r="Q12" s="13"/>
      <c r="R12" s="13"/>
      <c r="S12" s="13"/>
      <c r="T12" s="13"/>
      <c r="U12" s="13"/>
    </row>
    <row r="13" spans="1:21" ht="20.100000000000001" customHeight="1">
      <c r="A13" s="13"/>
      <c r="B13" s="13"/>
      <c r="C13" s="13"/>
      <c r="D13" s="13"/>
      <c r="E13" s="13"/>
      <c r="F13" s="13"/>
      <c r="G13" s="16"/>
      <c r="H13" s="16"/>
      <c r="I13" s="16"/>
      <c r="J13" s="16"/>
      <c r="K13" s="22" t="str">
        <f t="shared" si="0"/>
        <v/>
      </c>
      <c r="L13" s="22" t="str">
        <f>IF(A13="","",SUMIF(Nyílászárók!$C$6:$C$205,A13,Nyílászárók!$I$6:$I$205))</f>
        <v/>
      </c>
      <c r="M13" s="22" t="str">
        <f t="shared" si="1"/>
        <v/>
      </c>
      <c r="N13" s="16"/>
      <c r="O13" s="16"/>
      <c r="P13" s="16"/>
      <c r="Q13" s="13"/>
      <c r="R13" s="13"/>
      <c r="S13" s="13"/>
      <c r="T13" s="13"/>
      <c r="U13" s="13"/>
    </row>
    <row r="14" spans="1:21" ht="20.100000000000001" customHeight="1">
      <c r="A14" s="13"/>
      <c r="B14" s="13"/>
      <c r="C14" s="13"/>
      <c r="D14" s="13"/>
      <c r="E14" s="13"/>
      <c r="F14" s="13"/>
      <c r="G14" s="16"/>
      <c r="H14" s="16"/>
      <c r="I14" s="16"/>
      <c r="J14" s="16"/>
      <c r="K14" s="22" t="str">
        <f t="shared" si="0"/>
        <v/>
      </c>
      <c r="L14" s="22" t="str">
        <f>IF(A14="","",SUMIF(Nyílászárók!$C$6:$C$205,A14,Nyílászárók!$I$6:$I$205))</f>
        <v/>
      </c>
      <c r="M14" s="22" t="str">
        <f t="shared" si="1"/>
        <v/>
      </c>
      <c r="N14" s="16"/>
      <c r="O14" s="16"/>
      <c r="P14" s="16"/>
      <c r="Q14" s="13"/>
      <c r="R14" s="13"/>
      <c r="S14" s="13"/>
      <c r="T14" s="13"/>
      <c r="U14" s="13"/>
    </row>
    <row r="15" spans="1:21" ht="20.100000000000001" customHeight="1">
      <c r="A15" s="13"/>
      <c r="B15" s="13"/>
      <c r="C15" s="13"/>
      <c r="D15" s="13"/>
      <c r="E15" s="13"/>
      <c r="F15" s="13"/>
      <c r="G15" s="16"/>
      <c r="H15" s="16"/>
      <c r="I15" s="16"/>
      <c r="J15" s="16"/>
      <c r="K15" s="22" t="str">
        <f t="shared" si="0"/>
        <v/>
      </c>
      <c r="L15" s="22" t="str">
        <f>IF(A15="","",SUMIF(Nyílászárók!$C$6:$C$205,A15,Nyílászárók!$I$6:$I$205))</f>
        <v/>
      </c>
      <c r="M15" s="22" t="str">
        <f t="shared" si="1"/>
        <v/>
      </c>
      <c r="N15" s="16"/>
      <c r="O15" s="16"/>
      <c r="P15" s="16"/>
      <c r="Q15" s="13"/>
      <c r="R15" s="13"/>
      <c r="S15" s="13"/>
      <c r="T15" s="13"/>
      <c r="U15" s="13"/>
    </row>
    <row r="16" spans="1:21" ht="20.100000000000001" customHeight="1">
      <c r="A16" s="13"/>
      <c r="B16" s="13"/>
      <c r="C16" s="13"/>
      <c r="D16" s="13"/>
      <c r="E16" s="13"/>
      <c r="F16" s="13"/>
      <c r="G16" s="16"/>
      <c r="H16" s="16"/>
      <c r="I16" s="16"/>
      <c r="J16" s="16"/>
      <c r="K16" s="22" t="str">
        <f t="shared" si="0"/>
        <v/>
      </c>
      <c r="L16" s="22" t="str">
        <f>IF(A16="","",SUMIF(Nyílászárók!$C$6:$C$205,A16,Nyílászárók!$I$6:$I$205))</f>
        <v/>
      </c>
      <c r="M16" s="22" t="str">
        <f t="shared" si="1"/>
        <v/>
      </c>
      <c r="N16" s="16"/>
      <c r="O16" s="16"/>
      <c r="P16" s="16"/>
      <c r="Q16" s="13"/>
      <c r="R16" s="13"/>
      <c r="S16" s="13"/>
      <c r="T16" s="13"/>
      <c r="U16" s="13"/>
    </row>
    <row r="17" spans="1:21" ht="20.100000000000001" customHeight="1">
      <c r="A17" s="13"/>
      <c r="B17" s="13"/>
      <c r="C17" s="13"/>
      <c r="D17" s="13"/>
      <c r="E17" s="13"/>
      <c r="F17" s="13"/>
      <c r="G17" s="16"/>
      <c r="H17" s="16"/>
      <c r="I17" s="16"/>
      <c r="J17" s="16"/>
      <c r="K17" s="22" t="str">
        <f t="shared" si="0"/>
        <v/>
      </c>
      <c r="L17" s="22" t="str">
        <f>IF(A17="","",SUMIF(Nyílászárók!$C$6:$C$205,A17,Nyílászárók!$I$6:$I$205))</f>
        <v/>
      </c>
      <c r="M17" s="22" t="str">
        <f t="shared" si="1"/>
        <v/>
      </c>
      <c r="N17" s="16"/>
      <c r="O17" s="16"/>
      <c r="P17" s="16"/>
      <c r="Q17" s="13"/>
      <c r="R17" s="13"/>
      <c r="S17" s="13"/>
      <c r="T17" s="13"/>
      <c r="U17" s="13"/>
    </row>
    <row r="18" spans="1:21" ht="20.100000000000001" customHeight="1">
      <c r="A18" s="13"/>
      <c r="B18" s="13"/>
      <c r="C18" s="13"/>
      <c r="D18" s="13"/>
      <c r="E18" s="13"/>
      <c r="F18" s="13"/>
      <c r="G18" s="16"/>
      <c r="H18" s="16"/>
      <c r="I18" s="16"/>
      <c r="J18" s="16"/>
      <c r="K18" s="22" t="str">
        <f t="shared" si="0"/>
        <v/>
      </c>
      <c r="L18" s="22" t="str">
        <f>IF(A18="","",SUMIF(Nyílászárók!$C$6:$C$205,A18,Nyílászárók!$I$6:$I$205))</f>
        <v/>
      </c>
      <c r="M18" s="22" t="str">
        <f t="shared" si="1"/>
        <v/>
      </c>
      <c r="N18" s="16"/>
      <c r="O18" s="16"/>
      <c r="P18" s="16"/>
      <c r="Q18" s="13"/>
      <c r="R18" s="13"/>
      <c r="S18" s="13"/>
      <c r="T18" s="13"/>
      <c r="U18" s="13"/>
    </row>
    <row r="19" spans="1:21" ht="20.100000000000001" customHeight="1">
      <c r="A19" s="13"/>
      <c r="B19" s="13"/>
      <c r="C19" s="13"/>
      <c r="D19" s="13"/>
      <c r="E19" s="13"/>
      <c r="F19" s="13"/>
      <c r="G19" s="16"/>
      <c r="H19" s="16"/>
      <c r="I19" s="16"/>
      <c r="J19" s="16"/>
      <c r="K19" s="22" t="str">
        <f t="shared" si="0"/>
        <v/>
      </c>
      <c r="L19" s="22" t="str">
        <f>IF(A19="","",SUMIF(Nyílászárók!$C$6:$C$205,A19,Nyílászárók!$I$6:$I$205))</f>
        <v/>
      </c>
      <c r="M19" s="22" t="str">
        <f t="shared" si="1"/>
        <v/>
      </c>
      <c r="N19" s="16"/>
      <c r="O19" s="16"/>
      <c r="P19" s="16"/>
      <c r="Q19" s="13"/>
      <c r="R19" s="13"/>
      <c r="S19" s="13"/>
      <c r="T19" s="13"/>
      <c r="U19" s="13"/>
    </row>
    <row r="20" spans="1:21" ht="20.100000000000001" customHeight="1">
      <c r="A20" s="13"/>
      <c r="B20" s="13"/>
      <c r="C20" s="13"/>
      <c r="D20" s="13"/>
      <c r="E20" s="13"/>
      <c r="F20" s="13"/>
      <c r="G20" s="16"/>
      <c r="H20" s="16"/>
      <c r="I20" s="16"/>
      <c r="J20" s="16"/>
      <c r="K20" s="22" t="str">
        <f t="shared" si="0"/>
        <v/>
      </c>
      <c r="L20" s="22" t="str">
        <f>IF(A20="","",SUMIF(Nyílászárók!$C$6:$C$205,A20,Nyílászárók!$I$6:$I$205))</f>
        <v/>
      </c>
      <c r="M20" s="22" t="str">
        <f t="shared" si="1"/>
        <v/>
      </c>
      <c r="N20" s="16"/>
      <c r="O20" s="16"/>
      <c r="P20" s="16"/>
      <c r="Q20" s="13"/>
      <c r="R20" s="13"/>
      <c r="S20" s="13"/>
      <c r="T20" s="13"/>
      <c r="U20" s="13"/>
    </row>
    <row r="21" spans="1:21" ht="20.100000000000001" customHeight="1">
      <c r="A21" s="13"/>
      <c r="B21" s="13"/>
      <c r="C21" s="13"/>
      <c r="D21" s="13"/>
      <c r="E21" s="13"/>
      <c r="F21" s="13"/>
      <c r="G21" s="16"/>
      <c r="H21" s="16"/>
      <c r="I21" s="16"/>
      <c r="J21" s="16"/>
      <c r="K21" s="22" t="str">
        <f t="shared" si="0"/>
        <v/>
      </c>
      <c r="L21" s="22" t="str">
        <f>IF(A21="","",SUMIF(Nyílászárók!$C$6:$C$205,A21,Nyílászárók!$I$6:$I$205))</f>
        <v/>
      </c>
      <c r="M21" s="22" t="str">
        <f t="shared" si="1"/>
        <v/>
      </c>
      <c r="N21" s="16"/>
      <c r="O21" s="16"/>
      <c r="P21" s="16"/>
      <c r="Q21" s="13"/>
      <c r="R21" s="13"/>
      <c r="S21" s="13"/>
      <c r="T21" s="13"/>
      <c r="U21" s="13"/>
    </row>
    <row r="22" spans="1:21" ht="20.100000000000001" customHeight="1">
      <c r="A22" s="13"/>
      <c r="B22" s="13"/>
      <c r="C22" s="13"/>
      <c r="D22" s="13"/>
      <c r="E22" s="13"/>
      <c r="F22" s="13"/>
      <c r="G22" s="16"/>
      <c r="H22" s="16"/>
      <c r="I22" s="16"/>
      <c r="J22" s="16"/>
      <c r="K22" s="22" t="str">
        <f t="shared" si="0"/>
        <v/>
      </c>
      <c r="L22" s="22" t="str">
        <f>IF(A22="","",SUMIF(Nyílászárók!$C$6:$C$205,A22,Nyílászárók!$I$6:$I$205))</f>
        <v/>
      </c>
      <c r="M22" s="22" t="str">
        <f t="shared" si="1"/>
        <v/>
      </c>
      <c r="N22" s="16"/>
      <c r="O22" s="16"/>
      <c r="P22" s="16"/>
      <c r="Q22" s="13"/>
      <c r="R22" s="13"/>
      <c r="S22" s="13"/>
      <c r="T22" s="13"/>
      <c r="U22" s="13"/>
    </row>
    <row r="23" spans="1:21" ht="20.100000000000001" customHeight="1">
      <c r="A23" s="13"/>
      <c r="B23" s="13"/>
      <c r="C23" s="13"/>
      <c r="D23" s="13"/>
      <c r="E23" s="13"/>
      <c r="F23" s="13"/>
      <c r="G23" s="16"/>
      <c r="H23" s="16"/>
      <c r="I23" s="16"/>
      <c r="J23" s="16"/>
      <c r="K23" s="22" t="str">
        <f t="shared" si="0"/>
        <v/>
      </c>
      <c r="L23" s="22" t="str">
        <f>IF(A23="","",SUMIF(Nyílászárók!$C$6:$C$205,A23,Nyílászárók!$I$6:$I$205))</f>
        <v/>
      </c>
      <c r="M23" s="22" t="str">
        <f t="shared" si="1"/>
        <v/>
      </c>
      <c r="N23" s="16"/>
      <c r="O23" s="16"/>
      <c r="P23" s="16"/>
      <c r="Q23" s="13"/>
      <c r="R23" s="13"/>
      <c r="S23" s="13"/>
      <c r="T23" s="13"/>
      <c r="U23" s="13"/>
    </row>
    <row r="24" spans="1:21" ht="20.100000000000001" customHeight="1">
      <c r="A24" s="13"/>
      <c r="B24" s="13"/>
      <c r="C24" s="13"/>
      <c r="D24" s="13"/>
      <c r="E24" s="13"/>
      <c r="F24" s="13"/>
      <c r="G24" s="16"/>
      <c r="H24" s="16"/>
      <c r="I24" s="16"/>
      <c r="J24" s="16"/>
      <c r="K24" s="22" t="str">
        <f t="shared" si="0"/>
        <v/>
      </c>
      <c r="L24" s="22" t="str">
        <f>IF(A24="","",SUMIF(Nyílászárók!$C$6:$C$205,A24,Nyílászárók!$I$6:$I$205))</f>
        <v/>
      </c>
      <c r="M24" s="22" t="str">
        <f t="shared" si="1"/>
        <v/>
      </c>
      <c r="N24" s="16"/>
      <c r="O24" s="16"/>
      <c r="P24" s="16"/>
      <c r="Q24" s="13"/>
      <c r="R24" s="13"/>
      <c r="S24" s="13"/>
      <c r="T24" s="13"/>
      <c r="U24" s="13"/>
    </row>
    <row r="25" spans="1:21" ht="20.100000000000001" customHeight="1">
      <c r="A25" s="13"/>
      <c r="B25" s="13"/>
      <c r="C25" s="13"/>
      <c r="D25" s="13"/>
      <c r="E25" s="13"/>
      <c r="F25" s="13"/>
      <c r="G25" s="16"/>
      <c r="H25" s="16"/>
      <c r="I25" s="16"/>
      <c r="J25" s="16"/>
      <c r="K25" s="22" t="str">
        <f t="shared" si="0"/>
        <v/>
      </c>
      <c r="L25" s="22" t="str">
        <f>IF(A25="","",SUMIF(Nyílászárók!$C$6:$C$205,A25,Nyílászárók!$I$6:$I$205))</f>
        <v/>
      </c>
      <c r="M25" s="22" t="str">
        <f t="shared" si="1"/>
        <v/>
      </c>
      <c r="N25" s="16"/>
      <c r="O25" s="16"/>
      <c r="P25" s="16"/>
      <c r="Q25" s="13"/>
      <c r="R25" s="13"/>
      <c r="S25" s="13"/>
      <c r="T25" s="13"/>
      <c r="U25" s="13"/>
    </row>
    <row r="26" spans="1:21" ht="20.100000000000001" customHeight="1">
      <c r="A26" s="13"/>
      <c r="B26" s="13"/>
      <c r="C26" s="13"/>
      <c r="D26" s="13"/>
      <c r="E26" s="13"/>
      <c r="F26" s="13"/>
      <c r="G26" s="16"/>
      <c r="H26" s="16"/>
      <c r="I26" s="16"/>
      <c r="J26" s="16"/>
      <c r="K26" s="22" t="str">
        <f t="shared" si="0"/>
        <v/>
      </c>
      <c r="L26" s="22" t="str">
        <f>IF(A26="","",SUMIF(Nyílászárók!$C$6:$C$205,A26,Nyílászárók!$I$6:$I$205))</f>
        <v/>
      </c>
      <c r="M26" s="22" t="str">
        <f t="shared" si="1"/>
        <v/>
      </c>
      <c r="N26" s="16"/>
      <c r="O26" s="16"/>
      <c r="P26" s="16"/>
      <c r="Q26" s="13"/>
      <c r="R26" s="13"/>
      <c r="S26" s="13"/>
      <c r="T26" s="13"/>
      <c r="U26" s="13"/>
    </row>
    <row r="27" spans="1:21" ht="20.100000000000001" customHeight="1">
      <c r="A27" s="13"/>
      <c r="B27" s="13"/>
      <c r="C27" s="13"/>
      <c r="D27" s="13"/>
      <c r="E27" s="13"/>
      <c r="F27" s="13"/>
      <c r="G27" s="16"/>
      <c r="H27" s="16"/>
      <c r="I27" s="16"/>
      <c r="J27" s="16"/>
      <c r="K27" s="22" t="str">
        <f t="shared" si="0"/>
        <v/>
      </c>
      <c r="L27" s="22" t="str">
        <f>IF(A27="","",SUMIF(Nyílászárók!$C$6:$C$205,A27,Nyílászárók!$I$6:$I$205))</f>
        <v/>
      </c>
      <c r="M27" s="22" t="str">
        <f t="shared" si="1"/>
        <v/>
      </c>
      <c r="N27" s="16"/>
      <c r="O27" s="16"/>
      <c r="P27" s="16"/>
      <c r="Q27" s="13"/>
      <c r="R27" s="13"/>
      <c r="S27" s="13"/>
      <c r="T27" s="13"/>
      <c r="U27" s="13"/>
    </row>
    <row r="28" spans="1:21" ht="20.100000000000001" customHeight="1">
      <c r="A28" s="13"/>
      <c r="B28" s="13"/>
      <c r="C28" s="13"/>
      <c r="D28" s="13"/>
      <c r="E28" s="13"/>
      <c r="F28" s="13"/>
      <c r="G28" s="16"/>
      <c r="H28" s="16"/>
      <c r="I28" s="16"/>
      <c r="J28" s="16"/>
      <c r="K28" s="22" t="str">
        <f t="shared" si="0"/>
        <v/>
      </c>
      <c r="L28" s="22" t="str">
        <f>IF(A28="","",SUMIF(Nyílászárók!$C$6:$C$205,A28,Nyílászárók!$I$6:$I$205))</f>
        <v/>
      </c>
      <c r="M28" s="22" t="str">
        <f t="shared" si="1"/>
        <v/>
      </c>
      <c r="N28" s="16"/>
      <c r="O28" s="16"/>
      <c r="P28" s="16"/>
      <c r="Q28" s="13"/>
      <c r="R28" s="13"/>
      <c r="S28" s="13"/>
      <c r="T28" s="13"/>
      <c r="U28" s="13"/>
    </row>
    <row r="29" spans="1:21" ht="20.100000000000001" customHeight="1">
      <c r="A29" s="13"/>
      <c r="B29" s="13"/>
      <c r="C29" s="13"/>
      <c r="D29" s="13"/>
      <c r="E29" s="13"/>
      <c r="F29" s="13"/>
      <c r="G29" s="16"/>
      <c r="H29" s="16"/>
      <c r="I29" s="16"/>
      <c r="J29" s="16"/>
      <c r="K29" s="22" t="str">
        <f t="shared" si="0"/>
        <v/>
      </c>
      <c r="L29" s="22" t="str">
        <f>IF(A29="","",SUMIF(Nyílászárók!$C$6:$C$205,A29,Nyílászárók!$I$6:$I$205))</f>
        <v/>
      </c>
      <c r="M29" s="22" t="str">
        <f t="shared" si="1"/>
        <v/>
      </c>
      <c r="N29" s="16"/>
      <c r="O29" s="16"/>
      <c r="P29" s="16"/>
      <c r="Q29" s="13"/>
      <c r="R29" s="13"/>
      <c r="S29" s="13"/>
      <c r="T29" s="13"/>
      <c r="U29" s="13"/>
    </row>
    <row r="30" spans="1:21" ht="20.100000000000001" customHeight="1">
      <c r="A30" s="13"/>
      <c r="B30" s="13"/>
      <c r="C30" s="13"/>
      <c r="D30" s="13"/>
      <c r="E30" s="13"/>
      <c r="F30" s="13"/>
      <c r="G30" s="16"/>
      <c r="H30" s="16"/>
      <c r="I30" s="16"/>
      <c r="J30" s="16"/>
      <c r="K30" s="22" t="str">
        <f t="shared" si="0"/>
        <v/>
      </c>
      <c r="L30" s="22" t="str">
        <f>IF(A30="","",SUMIF(Nyílászárók!$C$6:$C$205,A30,Nyílászárók!$I$6:$I$205))</f>
        <v/>
      </c>
      <c r="M30" s="22" t="str">
        <f t="shared" si="1"/>
        <v/>
      </c>
      <c r="N30" s="16"/>
      <c r="O30" s="16"/>
      <c r="P30" s="16"/>
      <c r="Q30" s="13"/>
      <c r="R30" s="13"/>
      <c r="S30" s="13"/>
      <c r="T30" s="13"/>
      <c r="U30" s="13"/>
    </row>
    <row r="31" spans="1:21" ht="20.100000000000001" customHeight="1">
      <c r="A31" s="13"/>
      <c r="B31" s="13"/>
      <c r="C31" s="13"/>
      <c r="D31" s="13"/>
      <c r="E31" s="13"/>
      <c r="F31" s="13"/>
      <c r="G31" s="16"/>
      <c r="H31" s="16"/>
      <c r="I31" s="16"/>
      <c r="J31" s="16"/>
      <c r="K31" s="22" t="str">
        <f t="shared" si="0"/>
        <v/>
      </c>
      <c r="L31" s="22" t="str">
        <f>IF(A31="","",SUMIF(Nyílászárók!$C$6:$C$205,A31,Nyílászárók!$I$6:$I$205))</f>
        <v/>
      </c>
      <c r="M31" s="22" t="str">
        <f t="shared" si="1"/>
        <v/>
      </c>
      <c r="N31" s="16"/>
      <c r="O31" s="16"/>
      <c r="P31" s="16"/>
      <c r="Q31" s="13"/>
      <c r="R31" s="13"/>
      <c r="S31" s="13"/>
      <c r="T31" s="13"/>
      <c r="U31" s="13"/>
    </row>
    <row r="32" spans="1:21" ht="20.100000000000001" customHeight="1">
      <c r="A32" s="13"/>
      <c r="B32" s="13"/>
      <c r="C32" s="13"/>
      <c r="D32" s="13"/>
      <c r="E32" s="13"/>
      <c r="F32" s="13"/>
      <c r="G32" s="16"/>
      <c r="H32" s="16"/>
      <c r="I32" s="16"/>
      <c r="J32" s="16"/>
      <c r="K32" s="22" t="str">
        <f t="shared" si="0"/>
        <v/>
      </c>
      <c r="L32" s="22" t="str">
        <f>IF(A32="","",SUMIF(Nyílászárók!$C$6:$C$205,A32,Nyílászárók!$I$6:$I$205))</f>
        <v/>
      </c>
      <c r="M32" s="22" t="str">
        <f t="shared" si="1"/>
        <v/>
      </c>
      <c r="N32" s="16"/>
      <c r="O32" s="16"/>
      <c r="P32" s="16"/>
      <c r="Q32" s="13"/>
      <c r="R32" s="13"/>
      <c r="S32" s="13"/>
      <c r="T32" s="13"/>
      <c r="U32" s="13"/>
    </row>
    <row r="33" spans="1:21" ht="20.100000000000001" customHeight="1">
      <c r="A33" s="13"/>
      <c r="B33" s="13"/>
      <c r="C33" s="13"/>
      <c r="D33" s="13"/>
      <c r="E33" s="13"/>
      <c r="F33" s="13"/>
      <c r="G33" s="16"/>
      <c r="H33" s="16"/>
      <c r="I33" s="16"/>
      <c r="J33" s="16"/>
      <c r="K33" s="22" t="str">
        <f t="shared" si="0"/>
        <v/>
      </c>
      <c r="L33" s="22" t="str">
        <f>IF(A33="","",SUMIF(Nyílászárók!$C$6:$C$205,A33,Nyílászárók!$I$6:$I$205))</f>
        <v/>
      </c>
      <c r="M33" s="22" t="str">
        <f t="shared" si="1"/>
        <v/>
      </c>
      <c r="N33" s="16"/>
      <c r="O33" s="16"/>
      <c r="P33" s="16"/>
      <c r="Q33" s="13"/>
      <c r="R33" s="13"/>
      <c r="S33" s="13"/>
      <c r="T33" s="13"/>
      <c r="U33" s="13"/>
    </row>
    <row r="34" spans="1:21" ht="20.100000000000001" customHeight="1">
      <c r="A34" s="13"/>
      <c r="B34" s="13"/>
      <c r="C34" s="13"/>
      <c r="D34" s="13"/>
      <c r="E34" s="13"/>
      <c r="F34" s="13"/>
      <c r="G34" s="16"/>
      <c r="H34" s="16"/>
      <c r="I34" s="16"/>
      <c r="J34" s="16"/>
      <c r="K34" s="22" t="str">
        <f t="shared" si="0"/>
        <v/>
      </c>
      <c r="L34" s="22" t="str">
        <f>IF(A34="","",SUMIF(Nyílászárók!$C$6:$C$205,A34,Nyílászárók!$I$6:$I$205))</f>
        <v/>
      </c>
      <c r="M34" s="22" t="str">
        <f t="shared" si="1"/>
        <v/>
      </c>
      <c r="N34" s="16"/>
      <c r="O34" s="16"/>
      <c r="P34" s="16"/>
      <c r="Q34" s="13"/>
      <c r="R34" s="13"/>
      <c r="S34" s="13"/>
      <c r="T34" s="13"/>
      <c r="U34" s="13"/>
    </row>
    <row r="35" spans="1:21" ht="20.100000000000001" customHeight="1">
      <c r="A35" s="13"/>
      <c r="B35" s="13"/>
      <c r="C35" s="13"/>
      <c r="D35" s="13"/>
      <c r="E35" s="13"/>
      <c r="F35" s="13"/>
      <c r="G35" s="16"/>
      <c r="H35" s="16"/>
      <c r="I35" s="16"/>
      <c r="J35" s="16"/>
      <c r="K35" s="22" t="str">
        <f t="shared" si="0"/>
        <v/>
      </c>
      <c r="L35" s="22" t="str">
        <f>IF(A35="","",SUMIF(Nyílászárók!$C$6:$C$205,A35,Nyílászárók!$I$6:$I$205))</f>
        <v/>
      </c>
      <c r="M35" s="22" t="str">
        <f t="shared" si="1"/>
        <v/>
      </c>
      <c r="N35" s="16"/>
      <c r="O35" s="16"/>
      <c r="P35" s="16"/>
      <c r="Q35" s="13"/>
      <c r="R35" s="13"/>
      <c r="S35" s="13"/>
      <c r="T35" s="13"/>
      <c r="U35" s="13"/>
    </row>
    <row r="36" spans="1:21" ht="20.100000000000001" customHeight="1">
      <c r="A36" s="13"/>
      <c r="B36" s="13"/>
      <c r="C36" s="13"/>
      <c r="D36" s="13"/>
      <c r="E36" s="13"/>
      <c r="F36" s="13"/>
      <c r="G36" s="16"/>
      <c r="H36" s="16"/>
      <c r="I36" s="16"/>
      <c r="J36" s="16"/>
      <c r="K36" s="22" t="str">
        <f t="shared" si="0"/>
        <v/>
      </c>
      <c r="L36" s="22" t="str">
        <f>IF(A36="","",SUMIF(Nyílászárók!$C$6:$C$205,A36,Nyílászárók!$I$6:$I$205))</f>
        <v/>
      </c>
      <c r="M36" s="22" t="str">
        <f t="shared" si="1"/>
        <v/>
      </c>
      <c r="N36" s="16"/>
      <c r="O36" s="16"/>
      <c r="P36" s="16"/>
      <c r="Q36" s="13"/>
      <c r="R36" s="13"/>
      <c r="S36" s="13"/>
      <c r="T36" s="13"/>
      <c r="U36" s="13"/>
    </row>
    <row r="37" spans="1:21" ht="20.100000000000001" customHeight="1">
      <c r="A37" s="13"/>
      <c r="B37" s="13"/>
      <c r="C37" s="13"/>
      <c r="D37" s="13"/>
      <c r="E37" s="13"/>
      <c r="F37" s="13"/>
      <c r="G37" s="16"/>
      <c r="H37" s="16"/>
      <c r="I37" s="16"/>
      <c r="J37" s="16"/>
      <c r="K37" s="22" t="str">
        <f t="shared" si="0"/>
        <v/>
      </c>
      <c r="L37" s="22" t="str">
        <f>IF(A37="","",SUMIF(Nyílászárók!$C$6:$C$205,A37,Nyílászárók!$I$6:$I$205))</f>
        <v/>
      </c>
      <c r="M37" s="22" t="str">
        <f t="shared" si="1"/>
        <v/>
      </c>
      <c r="N37" s="16"/>
      <c r="O37" s="16"/>
      <c r="P37" s="16"/>
      <c r="Q37" s="13"/>
      <c r="R37" s="13"/>
      <c r="S37" s="13"/>
      <c r="T37" s="13"/>
      <c r="U37" s="13"/>
    </row>
    <row r="38" spans="1:21" ht="20.100000000000001" customHeight="1">
      <c r="A38" s="13"/>
      <c r="B38" s="13"/>
      <c r="C38" s="13"/>
      <c r="D38" s="13"/>
      <c r="E38" s="13"/>
      <c r="F38" s="13"/>
      <c r="G38" s="16"/>
      <c r="H38" s="16"/>
      <c r="I38" s="16"/>
      <c r="J38" s="16"/>
      <c r="K38" s="22" t="str">
        <f t="shared" ref="K38:K69" si="2">IF(A38="","",IF(J38&lt;&gt;"",J38,IF(OR(H38="",I38=""),"",H38*I38)))</f>
        <v/>
      </c>
      <c r="L38" s="22" t="str">
        <f>IF(A38="","",SUMIF(Nyílászárók!$C$6:$C$205,A38,Nyílászárók!$I$6:$I$205))</f>
        <v/>
      </c>
      <c r="M38" s="22" t="str">
        <f t="shared" ref="M38:M69" si="3">IF(A38="","",IF(K38="","",K38-L38))</f>
        <v/>
      </c>
      <c r="N38" s="16"/>
      <c r="O38" s="16"/>
      <c r="P38" s="16"/>
      <c r="Q38" s="13"/>
      <c r="R38" s="13"/>
      <c r="S38" s="13"/>
      <c r="T38" s="13"/>
      <c r="U38" s="13"/>
    </row>
    <row r="39" spans="1:21" ht="20.100000000000001" customHeight="1">
      <c r="A39" s="13"/>
      <c r="B39" s="13"/>
      <c r="C39" s="13"/>
      <c r="D39" s="13"/>
      <c r="E39" s="13"/>
      <c r="F39" s="13"/>
      <c r="G39" s="16"/>
      <c r="H39" s="16"/>
      <c r="I39" s="16"/>
      <c r="J39" s="16"/>
      <c r="K39" s="22" t="str">
        <f t="shared" si="2"/>
        <v/>
      </c>
      <c r="L39" s="22" t="str">
        <f>IF(A39="","",SUMIF(Nyílászárók!$C$6:$C$205,A39,Nyílászárók!$I$6:$I$205))</f>
        <v/>
      </c>
      <c r="M39" s="22" t="str">
        <f t="shared" si="3"/>
        <v/>
      </c>
      <c r="N39" s="16"/>
      <c r="O39" s="16"/>
      <c r="P39" s="16"/>
      <c r="Q39" s="13"/>
      <c r="R39" s="13"/>
      <c r="S39" s="13"/>
      <c r="T39" s="13"/>
      <c r="U39" s="13"/>
    </row>
    <row r="40" spans="1:21" ht="20.100000000000001" customHeight="1">
      <c r="A40" s="13"/>
      <c r="B40" s="13"/>
      <c r="C40" s="13"/>
      <c r="D40" s="13"/>
      <c r="E40" s="13"/>
      <c r="F40" s="13"/>
      <c r="G40" s="16"/>
      <c r="H40" s="16"/>
      <c r="I40" s="16"/>
      <c r="J40" s="16"/>
      <c r="K40" s="22" t="str">
        <f t="shared" si="2"/>
        <v/>
      </c>
      <c r="L40" s="22" t="str">
        <f>IF(A40="","",SUMIF(Nyílászárók!$C$6:$C$205,A40,Nyílászárók!$I$6:$I$205))</f>
        <v/>
      </c>
      <c r="M40" s="22" t="str">
        <f t="shared" si="3"/>
        <v/>
      </c>
      <c r="N40" s="16"/>
      <c r="O40" s="16"/>
      <c r="P40" s="16"/>
      <c r="Q40" s="13"/>
      <c r="R40" s="13"/>
      <c r="S40" s="13"/>
      <c r="T40" s="13"/>
      <c r="U40" s="13"/>
    </row>
    <row r="41" spans="1:21" ht="20.100000000000001" customHeight="1">
      <c r="A41" s="13"/>
      <c r="B41" s="13"/>
      <c r="C41" s="13"/>
      <c r="D41" s="13"/>
      <c r="E41" s="13"/>
      <c r="F41" s="13"/>
      <c r="G41" s="16"/>
      <c r="H41" s="16"/>
      <c r="I41" s="16"/>
      <c r="J41" s="16"/>
      <c r="K41" s="22" t="str">
        <f t="shared" si="2"/>
        <v/>
      </c>
      <c r="L41" s="22" t="str">
        <f>IF(A41="","",SUMIF(Nyílászárók!$C$6:$C$205,A41,Nyílászárók!$I$6:$I$205))</f>
        <v/>
      </c>
      <c r="M41" s="22" t="str">
        <f t="shared" si="3"/>
        <v/>
      </c>
      <c r="N41" s="16"/>
      <c r="O41" s="16"/>
      <c r="P41" s="16"/>
      <c r="Q41" s="13"/>
      <c r="R41" s="13"/>
      <c r="S41" s="13"/>
      <c r="T41" s="13"/>
      <c r="U41" s="13"/>
    </row>
    <row r="42" spans="1:21" ht="20.100000000000001" customHeight="1">
      <c r="A42" s="13"/>
      <c r="B42" s="13"/>
      <c r="C42" s="13"/>
      <c r="D42" s="13"/>
      <c r="E42" s="13"/>
      <c r="F42" s="13"/>
      <c r="G42" s="16"/>
      <c r="H42" s="16"/>
      <c r="I42" s="16"/>
      <c r="J42" s="16"/>
      <c r="K42" s="22" t="str">
        <f t="shared" si="2"/>
        <v/>
      </c>
      <c r="L42" s="22" t="str">
        <f>IF(A42="","",SUMIF(Nyílászárók!$C$6:$C$205,A42,Nyílászárók!$I$6:$I$205))</f>
        <v/>
      </c>
      <c r="M42" s="22" t="str">
        <f t="shared" si="3"/>
        <v/>
      </c>
      <c r="N42" s="16"/>
      <c r="O42" s="16"/>
      <c r="P42" s="16"/>
      <c r="Q42" s="13"/>
      <c r="R42" s="13"/>
      <c r="S42" s="13"/>
      <c r="T42" s="13"/>
      <c r="U42" s="13"/>
    </row>
    <row r="43" spans="1:21" ht="20.100000000000001" customHeight="1">
      <c r="A43" s="13"/>
      <c r="B43" s="13"/>
      <c r="C43" s="13"/>
      <c r="D43" s="13"/>
      <c r="E43" s="13"/>
      <c r="F43" s="13"/>
      <c r="G43" s="16"/>
      <c r="H43" s="16"/>
      <c r="I43" s="16"/>
      <c r="J43" s="16"/>
      <c r="K43" s="22" t="str">
        <f t="shared" si="2"/>
        <v/>
      </c>
      <c r="L43" s="22" t="str">
        <f>IF(A43="","",SUMIF(Nyílászárók!$C$6:$C$205,A43,Nyílászárók!$I$6:$I$205))</f>
        <v/>
      </c>
      <c r="M43" s="22" t="str">
        <f t="shared" si="3"/>
        <v/>
      </c>
      <c r="N43" s="16"/>
      <c r="O43" s="16"/>
      <c r="P43" s="16"/>
      <c r="Q43" s="13"/>
      <c r="R43" s="13"/>
      <c r="S43" s="13"/>
      <c r="T43" s="13"/>
      <c r="U43" s="13"/>
    </row>
    <row r="44" spans="1:21" ht="20.100000000000001" customHeight="1">
      <c r="A44" s="13"/>
      <c r="B44" s="13"/>
      <c r="C44" s="13"/>
      <c r="D44" s="13"/>
      <c r="E44" s="13"/>
      <c r="F44" s="13"/>
      <c r="G44" s="16"/>
      <c r="H44" s="16"/>
      <c r="I44" s="16"/>
      <c r="J44" s="16"/>
      <c r="K44" s="22" t="str">
        <f t="shared" si="2"/>
        <v/>
      </c>
      <c r="L44" s="22" t="str">
        <f>IF(A44="","",SUMIF(Nyílászárók!$C$6:$C$205,A44,Nyílászárók!$I$6:$I$205))</f>
        <v/>
      </c>
      <c r="M44" s="22" t="str">
        <f t="shared" si="3"/>
        <v/>
      </c>
      <c r="N44" s="16"/>
      <c r="O44" s="16"/>
      <c r="P44" s="16"/>
      <c r="Q44" s="13"/>
      <c r="R44" s="13"/>
      <c r="S44" s="13"/>
      <c r="T44" s="13"/>
      <c r="U44" s="13"/>
    </row>
    <row r="45" spans="1:21" ht="20.100000000000001" customHeight="1">
      <c r="A45" s="13"/>
      <c r="B45" s="13"/>
      <c r="C45" s="13"/>
      <c r="D45" s="13"/>
      <c r="E45" s="13"/>
      <c r="F45" s="13"/>
      <c r="G45" s="16"/>
      <c r="H45" s="16"/>
      <c r="I45" s="16"/>
      <c r="J45" s="16"/>
      <c r="K45" s="22" t="str">
        <f t="shared" si="2"/>
        <v/>
      </c>
      <c r="L45" s="22" t="str">
        <f>IF(A45="","",SUMIF(Nyílászárók!$C$6:$C$205,A45,Nyílászárók!$I$6:$I$205))</f>
        <v/>
      </c>
      <c r="M45" s="22" t="str">
        <f t="shared" si="3"/>
        <v/>
      </c>
      <c r="N45" s="16"/>
      <c r="O45" s="16"/>
      <c r="P45" s="16"/>
      <c r="Q45" s="13"/>
      <c r="R45" s="13"/>
      <c r="S45" s="13"/>
      <c r="T45" s="13"/>
      <c r="U45" s="13"/>
    </row>
    <row r="46" spans="1:21" ht="20.100000000000001" customHeight="1">
      <c r="A46" s="13"/>
      <c r="B46" s="13"/>
      <c r="C46" s="13"/>
      <c r="D46" s="13"/>
      <c r="E46" s="13"/>
      <c r="F46" s="13"/>
      <c r="G46" s="16"/>
      <c r="H46" s="16"/>
      <c r="I46" s="16"/>
      <c r="J46" s="16"/>
      <c r="K46" s="22" t="str">
        <f t="shared" si="2"/>
        <v/>
      </c>
      <c r="L46" s="22" t="str">
        <f>IF(A46="","",SUMIF(Nyílászárók!$C$6:$C$205,A46,Nyílászárók!$I$6:$I$205))</f>
        <v/>
      </c>
      <c r="M46" s="22" t="str">
        <f t="shared" si="3"/>
        <v/>
      </c>
      <c r="N46" s="16"/>
      <c r="O46" s="16"/>
      <c r="P46" s="16"/>
      <c r="Q46" s="13"/>
      <c r="R46" s="13"/>
      <c r="S46" s="13"/>
      <c r="T46" s="13"/>
      <c r="U46" s="13"/>
    </row>
    <row r="47" spans="1:21" ht="20.100000000000001" customHeight="1">
      <c r="A47" s="13"/>
      <c r="B47" s="13"/>
      <c r="C47" s="13"/>
      <c r="D47" s="13"/>
      <c r="E47" s="13"/>
      <c r="F47" s="13"/>
      <c r="G47" s="16"/>
      <c r="H47" s="16"/>
      <c r="I47" s="16"/>
      <c r="J47" s="16"/>
      <c r="K47" s="22" t="str">
        <f t="shared" si="2"/>
        <v/>
      </c>
      <c r="L47" s="22" t="str">
        <f>IF(A47="","",SUMIF(Nyílászárók!$C$6:$C$205,A47,Nyílászárók!$I$6:$I$205))</f>
        <v/>
      </c>
      <c r="M47" s="22" t="str">
        <f t="shared" si="3"/>
        <v/>
      </c>
      <c r="N47" s="16"/>
      <c r="O47" s="16"/>
      <c r="P47" s="16"/>
      <c r="Q47" s="13"/>
      <c r="R47" s="13"/>
      <c r="S47" s="13"/>
      <c r="T47" s="13"/>
      <c r="U47" s="13"/>
    </row>
    <row r="48" spans="1:21" ht="20.100000000000001" customHeight="1">
      <c r="A48" s="13"/>
      <c r="B48" s="13"/>
      <c r="C48" s="13"/>
      <c r="D48" s="13"/>
      <c r="E48" s="13"/>
      <c r="F48" s="13"/>
      <c r="G48" s="16"/>
      <c r="H48" s="16"/>
      <c r="I48" s="16"/>
      <c r="J48" s="16"/>
      <c r="K48" s="22" t="str">
        <f t="shared" si="2"/>
        <v/>
      </c>
      <c r="L48" s="22" t="str">
        <f>IF(A48="","",SUMIF(Nyílászárók!$C$6:$C$205,A48,Nyílászárók!$I$6:$I$205))</f>
        <v/>
      </c>
      <c r="M48" s="22" t="str">
        <f t="shared" si="3"/>
        <v/>
      </c>
      <c r="N48" s="16"/>
      <c r="O48" s="16"/>
      <c r="P48" s="16"/>
      <c r="Q48" s="13"/>
      <c r="R48" s="13"/>
      <c r="S48" s="13"/>
      <c r="T48" s="13"/>
      <c r="U48" s="13"/>
    </row>
    <row r="49" spans="1:21" ht="20.100000000000001" customHeight="1">
      <c r="A49" s="13"/>
      <c r="B49" s="13"/>
      <c r="C49" s="13"/>
      <c r="D49" s="13"/>
      <c r="E49" s="13"/>
      <c r="F49" s="13"/>
      <c r="G49" s="16"/>
      <c r="H49" s="16"/>
      <c r="I49" s="16"/>
      <c r="J49" s="16"/>
      <c r="K49" s="22" t="str">
        <f t="shared" si="2"/>
        <v/>
      </c>
      <c r="L49" s="22" t="str">
        <f>IF(A49="","",SUMIF(Nyílászárók!$C$6:$C$205,A49,Nyílászárók!$I$6:$I$205))</f>
        <v/>
      </c>
      <c r="M49" s="22" t="str">
        <f t="shared" si="3"/>
        <v/>
      </c>
      <c r="N49" s="16"/>
      <c r="O49" s="16"/>
      <c r="P49" s="16"/>
      <c r="Q49" s="13"/>
      <c r="R49" s="13"/>
      <c r="S49" s="13"/>
      <c r="T49" s="13"/>
      <c r="U49" s="13"/>
    </row>
    <row r="50" spans="1:21" ht="20.100000000000001" customHeight="1">
      <c r="A50" s="13"/>
      <c r="B50" s="13"/>
      <c r="C50" s="13"/>
      <c r="D50" s="13"/>
      <c r="E50" s="13"/>
      <c r="F50" s="13"/>
      <c r="G50" s="16"/>
      <c r="H50" s="16"/>
      <c r="I50" s="16"/>
      <c r="J50" s="16"/>
      <c r="K50" s="22" t="str">
        <f t="shared" si="2"/>
        <v/>
      </c>
      <c r="L50" s="22" t="str">
        <f>IF(A50="","",SUMIF(Nyílászárók!$C$6:$C$205,A50,Nyílászárók!$I$6:$I$205))</f>
        <v/>
      </c>
      <c r="M50" s="22" t="str">
        <f t="shared" si="3"/>
        <v/>
      </c>
      <c r="N50" s="16"/>
      <c r="O50" s="16"/>
      <c r="P50" s="16"/>
      <c r="Q50" s="13"/>
      <c r="R50" s="13"/>
      <c r="S50" s="13"/>
      <c r="T50" s="13"/>
      <c r="U50" s="13"/>
    </row>
    <row r="51" spans="1:21" ht="20.100000000000001" customHeight="1">
      <c r="A51" s="13"/>
      <c r="B51" s="13"/>
      <c r="C51" s="13"/>
      <c r="D51" s="13"/>
      <c r="E51" s="13"/>
      <c r="F51" s="13"/>
      <c r="G51" s="16"/>
      <c r="H51" s="16"/>
      <c r="I51" s="16"/>
      <c r="J51" s="16"/>
      <c r="K51" s="22" t="str">
        <f t="shared" si="2"/>
        <v/>
      </c>
      <c r="L51" s="22" t="str">
        <f>IF(A51="","",SUMIF(Nyílászárók!$C$6:$C$205,A51,Nyílászárók!$I$6:$I$205))</f>
        <v/>
      </c>
      <c r="M51" s="22" t="str">
        <f t="shared" si="3"/>
        <v/>
      </c>
      <c r="N51" s="16"/>
      <c r="O51" s="16"/>
      <c r="P51" s="16"/>
      <c r="Q51" s="13"/>
      <c r="R51" s="13"/>
      <c r="S51" s="13"/>
      <c r="T51" s="13"/>
      <c r="U51" s="13"/>
    </row>
    <row r="52" spans="1:21" ht="20.100000000000001" customHeight="1">
      <c r="A52" s="13"/>
      <c r="B52" s="13"/>
      <c r="C52" s="13"/>
      <c r="D52" s="13"/>
      <c r="E52" s="13"/>
      <c r="F52" s="13"/>
      <c r="G52" s="16"/>
      <c r="H52" s="16"/>
      <c r="I52" s="16"/>
      <c r="J52" s="16"/>
      <c r="K52" s="22" t="str">
        <f t="shared" si="2"/>
        <v/>
      </c>
      <c r="L52" s="22" t="str">
        <f>IF(A52="","",SUMIF(Nyílászárók!$C$6:$C$205,A52,Nyílászárók!$I$6:$I$205))</f>
        <v/>
      </c>
      <c r="M52" s="22" t="str">
        <f t="shared" si="3"/>
        <v/>
      </c>
      <c r="N52" s="16"/>
      <c r="O52" s="16"/>
      <c r="P52" s="16"/>
      <c r="Q52" s="13"/>
      <c r="R52" s="13"/>
      <c r="S52" s="13"/>
      <c r="T52" s="13"/>
      <c r="U52" s="13"/>
    </row>
    <row r="53" spans="1:21" ht="20.100000000000001" customHeight="1">
      <c r="A53" s="13"/>
      <c r="B53" s="13"/>
      <c r="C53" s="13"/>
      <c r="D53" s="13"/>
      <c r="E53" s="13"/>
      <c r="F53" s="13"/>
      <c r="G53" s="16"/>
      <c r="H53" s="16"/>
      <c r="I53" s="16"/>
      <c r="J53" s="16"/>
      <c r="K53" s="22" t="str">
        <f t="shared" si="2"/>
        <v/>
      </c>
      <c r="L53" s="22" t="str">
        <f>IF(A53="","",SUMIF(Nyílászárók!$C$6:$C$205,A53,Nyílászárók!$I$6:$I$205))</f>
        <v/>
      </c>
      <c r="M53" s="22" t="str">
        <f t="shared" si="3"/>
        <v/>
      </c>
      <c r="N53" s="16"/>
      <c r="O53" s="16"/>
      <c r="P53" s="16"/>
      <c r="Q53" s="13"/>
      <c r="R53" s="13"/>
      <c r="S53" s="13"/>
      <c r="T53" s="13"/>
      <c r="U53" s="13"/>
    </row>
    <row r="54" spans="1:21" ht="20.100000000000001" customHeight="1">
      <c r="A54" s="13"/>
      <c r="B54" s="13"/>
      <c r="C54" s="13"/>
      <c r="D54" s="13"/>
      <c r="E54" s="13"/>
      <c r="F54" s="13"/>
      <c r="G54" s="16"/>
      <c r="H54" s="16"/>
      <c r="I54" s="16"/>
      <c r="J54" s="16"/>
      <c r="K54" s="22" t="str">
        <f t="shared" si="2"/>
        <v/>
      </c>
      <c r="L54" s="22" t="str">
        <f>IF(A54="","",SUMIF(Nyílászárók!$C$6:$C$205,A54,Nyílászárók!$I$6:$I$205))</f>
        <v/>
      </c>
      <c r="M54" s="22" t="str">
        <f t="shared" si="3"/>
        <v/>
      </c>
      <c r="N54" s="16"/>
      <c r="O54" s="16"/>
      <c r="P54" s="16"/>
      <c r="Q54" s="13"/>
      <c r="R54" s="13"/>
      <c r="S54" s="13"/>
      <c r="T54" s="13"/>
      <c r="U54" s="13"/>
    </row>
    <row r="55" spans="1:21" ht="20.100000000000001" customHeight="1">
      <c r="A55" s="13"/>
      <c r="B55" s="13"/>
      <c r="C55" s="13"/>
      <c r="D55" s="13"/>
      <c r="E55" s="13"/>
      <c r="F55" s="13"/>
      <c r="G55" s="16"/>
      <c r="H55" s="16"/>
      <c r="I55" s="16"/>
      <c r="J55" s="16"/>
      <c r="K55" s="22" t="str">
        <f t="shared" si="2"/>
        <v/>
      </c>
      <c r="L55" s="22" t="str">
        <f>IF(A55="","",SUMIF(Nyílászárók!$C$6:$C$205,A55,Nyílászárók!$I$6:$I$205))</f>
        <v/>
      </c>
      <c r="M55" s="22" t="str">
        <f t="shared" si="3"/>
        <v/>
      </c>
      <c r="N55" s="16"/>
      <c r="O55" s="16"/>
      <c r="P55" s="16"/>
      <c r="Q55" s="13"/>
      <c r="R55" s="13"/>
      <c r="S55" s="13"/>
      <c r="T55" s="13"/>
      <c r="U55" s="13"/>
    </row>
    <row r="56" spans="1:21" ht="20.100000000000001" customHeight="1">
      <c r="A56" s="13"/>
      <c r="B56" s="13"/>
      <c r="C56" s="13"/>
      <c r="D56" s="13"/>
      <c r="E56" s="13"/>
      <c r="F56" s="13"/>
      <c r="G56" s="16"/>
      <c r="H56" s="16"/>
      <c r="I56" s="16"/>
      <c r="J56" s="16"/>
      <c r="K56" s="22" t="str">
        <f t="shared" si="2"/>
        <v/>
      </c>
      <c r="L56" s="22" t="str">
        <f>IF(A56="","",SUMIF(Nyílászárók!$C$6:$C$205,A56,Nyílászárók!$I$6:$I$205))</f>
        <v/>
      </c>
      <c r="M56" s="22" t="str">
        <f t="shared" si="3"/>
        <v/>
      </c>
      <c r="N56" s="16"/>
      <c r="O56" s="16"/>
      <c r="P56" s="16"/>
      <c r="Q56" s="13"/>
      <c r="R56" s="13"/>
      <c r="S56" s="13"/>
      <c r="T56" s="13"/>
      <c r="U56" s="13"/>
    </row>
    <row r="57" spans="1:21" ht="20.100000000000001" customHeight="1">
      <c r="A57" s="13"/>
      <c r="B57" s="13"/>
      <c r="C57" s="13"/>
      <c r="D57" s="13"/>
      <c r="E57" s="13"/>
      <c r="F57" s="13"/>
      <c r="G57" s="16"/>
      <c r="H57" s="16"/>
      <c r="I57" s="16"/>
      <c r="J57" s="16"/>
      <c r="K57" s="22" t="str">
        <f t="shared" si="2"/>
        <v/>
      </c>
      <c r="L57" s="22" t="str">
        <f>IF(A57="","",SUMIF(Nyílászárók!$C$6:$C$205,A57,Nyílászárók!$I$6:$I$205))</f>
        <v/>
      </c>
      <c r="M57" s="22" t="str">
        <f t="shared" si="3"/>
        <v/>
      </c>
      <c r="N57" s="16"/>
      <c r="O57" s="16"/>
      <c r="P57" s="16"/>
      <c r="Q57" s="13"/>
      <c r="R57" s="13"/>
      <c r="S57" s="13"/>
      <c r="T57" s="13"/>
      <c r="U57" s="13"/>
    </row>
    <row r="58" spans="1:21" ht="20.100000000000001" customHeight="1">
      <c r="A58" s="13"/>
      <c r="B58" s="13"/>
      <c r="C58" s="13"/>
      <c r="D58" s="13"/>
      <c r="E58" s="13"/>
      <c r="F58" s="13"/>
      <c r="G58" s="16"/>
      <c r="H58" s="16"/>
      <c r="I58" s="16"/>
      <c r="J58" s="16"/>
      <c r="K58" s="22" t="str">
        <f t="shared" si="2"/>
        <v/>
      </c>
      <c r="L58" s="22" t="str">
        <f>IF(A58="","",SUMIF(Nyílászárók!$C$6:$C$205,A58,Nyílászárók!$I$6:$I$205))</f>
        <v/>
      </c>
      <c r="M58" s="22" t="str">
        <f t="shared" si="3"/>
        <v/>
      </c>
      <c r="N58" s="16"/>
      <c r="O58" s="16"/>
      <c r="P58" s="16"/>
      <c r="Q58" s="13"/>
      <c r="R58" s="13"/>
      <c r="S58" s="13"/>
      <c r="T58" s="13"/>
      <c r="U58" s="13"/>
    </row>
    <row r="59" spans="1:21" ht="20.100000000000001" customHeight="1">
      <c r="A59" s="13"/>
      <c r="B59" s="13"/>
      <c r="C59" s="13"/>
      <c r="D59" s="13"/>
      <c r="E59" s="13"/>
      <c r="F59" s="13"/>
      <c r="G59" s="16"/>
      <c r="H59" s="16"/>
      <c r="I59" s="16"/>
      <c r="J59" s="16"/>
      <c r="K59" s="22" t="str">
        <f t="shared" si="2"/>
        <v/>
      </c>
      <c r="L59" s="22" t="str">
        <f>IF(A59="","",SUMIF(Nyílászárók!$C$6:$C$205,A59,Nyílászárók!$I$6:$I$205))</f>
        <v/>
      </c>
      <c r="M59" s="22" t="str">
        <f t="shared" si="3"/>
        <v/>
      </c>
      <c r="N59" s="16"/>
      <c r="O59" s="16"/>
      <c r="P59" s="16"/>
      <c r="Q59" s="13"/>
      <c r="R59" s="13"/>
      <c r="S59" s="13"/>
      <c r="T59" s="13"/>
      <c r="U59" s="13"/>
    </row>
    <row r="60" spans="1:21" ht="20.100000000000001" customHeight="1">
      <c r="A60" s="13"/>
      <c r="B60" s="13"/>
      <c r="C60" s="13"/>
      <c r="D60" s="13"/>
      <c r="E60" s="13"/>
      <c r="F60" s="13"/>
      <c r="G60" s="16"/>
      <c r="H60" s="16"/>
      <c r="I60" s="16"/>
      <c r="J60" s="16"/>
      <c r="K60" s="22" t="str">
        <f t="shared" si="2"/>
        <v/>
      </c>
      <c r="L60" s="22" t="str">
        <f>IF(A60="","",SUMIF(Nyílászárók!$C$6:$C$205,A60,Nyílászárók!$I$6:$I$205))</f>
        <v/>
      </c>
      <c r="M60" s="22" t="str">
        <f t="shared" si="3"/>
        <v/>
      </c>
      <c r="N60" s="16"/>
      <c r="O60" s="16"/>
      <c r="P60" s="16"/>
      <c r="Q60" s="13"/>
      <c r="R60" s="13"/>
      <c r="S60" s="13"/>
      <c r="T60" s="13"/>
      <c r="U60" s="13"/>
    </row>
    <row r="61" spans="1:21" ht="20.100000000000001" customHeight="1">
      <c r="A61" s="13"/>
      <c r="B61" s="13"/>
      <c r="C61" s="13"/>
      <c r="D61" s="13"/>
      <c r="E61" s="13"/>
      <c r="F61" s="13"/>
      <c r="G61" s="16"/>
      <c r="H61" s="16"/>
      <c r="I61" s="16"/>
      <c r="J61" s="16"/>
      <c r="K61" s="22" t="str">
        <f t="shared" si="2"/>
        <v/>
      </c>
      <c r="L61" s="22" t="str">
        <f>IF(A61="","",SUMIF(Nyílászárók!$C$6:$C$205,A61,Nyílászárók!$I$6:$I$205))</f>
        <v/>
      </c>
      <c r="M61" s="22" t="str">
        <f t="shared" si="3"/>
        <v/>
      </c>
      <c r="N61" s="16"/>
      <c r="O61" s="16"/>
      <c r="P61" s="16"/>
      <c r="Q61" s="13"/>
      <c r="R61" s="13"/>
      <c r="S61" s="13"/>
      <c r="T61" s="13"/>
      <c r="U61" s="13"/>
    </row>
    <row r="62" spans="1:21" ht="20.100000000000001" customHeight="1">
      <c r="A62" s="13"/>
      <c r="B62" s="13"/>
      <c r="C62" s="13"/>
      <c r="D62" s="13"/>
      <c r="E62" s="13"/>
      <c r="F62" s="13"/>
      <c r="G62" s="16"/>
      <c r="H62" s="16"/>
      <c r="I62" s="16"/>
      <c r="J62" s="16"/>
      <c r="K62" s="22" t="str">
        <f t="shared" si="2"/>
        <v/>
      </c>
      <c r="L62" s="22" t="str">
        <f>IF(A62="","",SUMIF(Nyílászárók!$C$6:$C$205,A62,Nyílászárók!$I$6:$I$205))</f>
        <v/>
      </c>
      <c r="M62" s="22" t="str">
        <f t="shared" si="3"/>
        <v/>
      </c>
      <c r="N62" s="16"/>
      <c r="O62" s="16"/>
      <c r="P62" s="16"/>
      <c r="Q62" s="13"/>
      <c r="R62" s="13"/>
      <c r="S62" s="13"/>
      <c r="T62" s="13"/>
      <c r="U62" s="13"/>
    </row>
    <row r="63" spans="1:21" ht="20.100000000000001" customHeight="1">
      <c r="A63" s="13"/>
      <c r="B63" s="13"/>
      <c r="C63" s="13"/>
      <c r="D63" s="13"/>
      <c r="E63" s="13"/>
      <c r="F63" s="13"/>
      <c r="G63" s="16"/>
      <c r="H63" s="16"/>
      <c r="I63" s="16"/>
      <c r="J63" s="16"/>
      <c r="K63" s="22" t="str">
        <f t="shared" si="2"/>
        <v/>
      </c>
      <c r="L63" s="22" t="str">
        <f>IF(A63="","",SUMIF(Nyílászárók!$C$6:$C$205,A63,Nyílászárók!$I$6:$I$205))</f>
        <v/>
      </c>
      <c r="M63" s="22" t="str">
        <f t="shared" si="3"/>
        <v/>
      </c>
      <c r="N63" s="16"/>
      <c r="O63" s="16"/>
      <c r="P63" s="16"/>
      <c r="Q63" s="13"/>
      <c r="R63" s="13"/>
      <c r="S63" s="13"/>
      <c r="T63" s="13"/>
      <c r="U63" s="13"/>
    </row>
    <row r="64" spans="1:21" ht="20.100000000000001" customHeight="1">
      <c r="A64" s="13"/>
      <c r="B64" s="13"/>
      <c r="C64" s="13"/>
      <c r="D64" s="13"/>
      <c r="E64" s="13"/>
      <c r="F64" s="13"/>
      <c r="G64" s="16"/>
      <c r="H64" s="16"/>
      <c r="I64" s="16"/>
      <c r="J64" s="16"/>
      <c r="K64" s="22" t="str">
        <f t="shared" si="2"/>
        <v/>
      </c>
      <c r="L64" s="22" t="str">
        <f>IF(A64="","",SUMIF(Nyílászárók!$C$6:$C$205,A64,Nyílászárók!$I$6:$I$205))</f>
        <v/>
      </c>
      <c r="M64" s="22" t="str">
        <f t="shared" si="3"/>
        <v/>
      </c>
      <c r="N64" s="16"/>
      <c r="O64" s="16"/>
      <c r="P64" s="16"/>
      <c r="Q64" s="13"/>
      <c r="R64" s="13"/>
      <c r="S64" s="13"/>
      <c r="T64" s="13"/>
      <c r="U64" s="13"/>
    </row>
    <row r="65" spans="1:21" ht="20.100000000000001" customHeight="1">
      <c r="A65" s="13"/>
      <c r="B65" s="13"/>
      <c r="C65" s="13"/>
      <c r="D65" s="13"/>
      <c r="E65" s="13"/>
      <c r="F65" s="13"/>
      <c r="G65" s="16"/>
      <c r="H65" s="16"/>
      <c r="I65" s="16"/>
      <c r="J65" s="16"/>
      <c r="K65" s="22" t="str">
        <f t="shared" si="2"/>
        <v/>
      </c>
      <c r="L65" s="22" t="str">
        <f>IF(A65="","",SUMIF(Nyílászárók!$C$6:$C$205,A65,Nyílászárók!$I$6:$I$205))</f>
        <v/>
      </c>
      <c r="M65" s="22" t="str">
        <f t="shared" si="3"/>
        <v/>
      </c>
      <c r="N65" s="16"/>
      <c r="O65" s="16"/>
      <c r="P65" s="16"/>
      <c r="Q65" s="13"/>
      <c r="R65" s="13"/>
      <c r="S65" s="13"/>
      <c r="T65" s="13"/>
      <c r="U65" s="13"/>
    </row>
    <row r="66" spans="1:21" ht="20.100000000000001" customHeight="1">
      <c r="A66" s="13"/>
      <c r="B66" s="13"/>
      <c r="C66" s="13"/>
      <c r="D66" s="13"/>
      <c r="E66" s="13"/>
      <c r="F66" s="13"/>
      <c r="G66" s="16"/>
      <c r="H66" s="16"/>
      <c r="I66" s="16"/>
      <c r="J66" s="16"/>
      <c r="K66" s="22" t="str">
        <f t="shared" si="2"/>
        <v/>
      </c>
      <c r="L66" s="22" t="str">
        <f>IF(A66="","",SUMIF(Nyílászárók!$C$6:$C$205,A66,Nyílászárók!$I$6:$I$205))</f>
        <v/>
      </c>
      <c r="M66" s="22" t="str">
        <f t="shared" si="3"/>
        <v/>
      </c>
      <c r="N66" s="16"/>
      <c r="O66" s="16"/>
      <c r="P66" s="16"/>
      <c r="Q66" s="13"/>
      <c r="R66" s="13"/>
      <c r="S66" s="13"/>
      <c r="T66" s="13"/>
      <c r="U66" s="13"/>
    </row>
    <row r="67" spans="1:21" ht="20.100000000000001" customHeight="1">
      <c r="A67" s="13"/>
      <c r="B67" s="13"/>
      <c r="C67" s="13"/>
      <c r="D67" s="13"/>
      <c r="E67" s="13"/>
      <c r="F67" s="13"/>
      <c r="G67" s="16"/>
      <c r="H67" s="16"/>
      <c r="I67" s="16"/>
      <c r="J67" s="16"/>
      <c r="K67" s="22" t="str">
        <f t="shared" si="2"/>
        <v/>
      </c>
      <c r="L67" s="22" t="str">
        <f>IF(A67="","",SUMIF(Nyílászárók!$C$6:$C$205,A67,Nyílászárók!$I$6:$I$205))</f>
        <v/>
      </c>
      <c r="M67" s="22" t="str">
        <f t="shared" si="3"/>
        <v/>
      </c>
      <c r="N67" s="16"/>
      <c r="O67" s="16"/>
      <c r="P67" s="16"/>
      <c r="Q67" s="13"/>
      <c r="R67" s="13"/>
      <c r="S67" s="13"/>
      <c r="T67" s="13"/>
      <c r="U67" s="13"/>
    </row>
    <row r="68" spans="1:21" ht="20.100000000000001" customHeight="1">
      <c r="A68" s="13"/>
      <c r="B68" s="13"/>
      <c r="C68" s="13"/>
      <c r="D68" s="13"/>
      <c r="E68" s="13"/>
      <c r="F68" s="13"/>
      <c r="G68" s="16"/>
      <c r="H68" s="16"/>
      <c r="I68" s="16"/>
      <c r="J68" s="16"/>
      <c r="K68" s="22" t="str">
        <f t="shared" si="2"/>
        <v/>
      </c>
      <c r="L68" s="22" t="str">
        <f>IF(A68="","",SUMIF(Nyílászárók!$C$6:$C$205,A68,Nyílászárók!$I$6:$I$205))</f>
        <v/>
      </c>
      <c r="M68" s="22" t="str">
        <f t="shared" si="3"/>
        <v/>
      </c>
      <c r="N68" s="16"/>
      <c r="O68" s="16"/>
      <c r="P68" s="16"/>
      <c r="Q68" s="13"/>
      <c r="R68" s="13"/>
      <c r="S68" s="13"/>
      <c r="T68" s="13"/>
      <c r="U68" s="13"/>
    </row>
    <row r="69" spans="1:21" ht="20.100000000000001" customHeight="1">
      <c r="A69" s="13"/>
      <c r="B69" s="13"/>
      <c r="C69" s="13"/>
      <c r="D69" s="13"/>
      <c r="E69" s="13"/>
      <c r="F69" s="13"/>
      <c r="G69" s="16"/>
      <c r="H69" s="16"/>
      <c r="I69" s="16"/>
      <c r="J69" s="16"/>
      <c r="K69" s="22" t="str">
        <f t="shared" si="2"/>
        <v/>
      </c>
      <c r="L69" s="22" t="str">
        <f>IF(A69="","",SUMIF(Nyílászárók!$C$6:$C$205,A69,Nyílászárók!$I$6:$I$205))</f>
        <v/>
      </c>
      <c r="M69" s="22" t="str">
        <f t="shared" si="3"/>
        <v/>
      </c>
      <c r="N69" s="16"/>
      <c r="O69" s="16"/>
      <c r="P69" s="16"/>
      <c r="Q69" s="13"/>
      <c r="R69" s="13"/>
      <c r="S69" s="13"/>
      <c r="T69" s="13"/>
      <c r="U69" s="13"/>
    </row>
    <row r="70" spans="1:21" ht="20.100000000000001" customHeight="1">
      <c r="A70" s="13"/>
      <c r="B70" s="13"/>
      <c r="C70" s="13"/>
      <c r="D70" s="13"/>
      <c r="E70" s="13"/>
      <c r="F70" s="13"/>
      <c r="G70" s="16"/>
      <c r="H70" s="16"/>
      <c r="I70" s="16"/>
      <c r="J70" s="16"/>
      <c r="K70" s="22" t="str">
        <f t="shared" ref="K70:K101" si="4">IF(A70="","",IF(J70&lt;&gt;"",J70,IF(OR(H70="",I70=""),"",H70*I70)))</f>
        <v/>
      </c>
      <c r="L70" s="22" t="str">
        <f>IF(A70="","",SUMIF(Nyílászárók!$C$6:$C$205,A70,Nyílászárók!$I$6:$I$205))</f>
        <v/>
      </c>
      <c r="M70" s="22" t="str">
        <f t="shared" ref="M70:M101" si="5">IF(A70="","",IF(K70="","",K70-L70))</f>
        <v/>
      </c>
      <c r="N70" s="16"/>
      <c r="O70" s="16"/>
      <c r="P70" s="16"/>
      <c r="Q70" s="13"/>
      <c r="R70" s="13"/>
      <c r="S70" s="13"/>
      <c r="T70" s="13"/>
      <c r="U70" s="13"/>
    </row>
    <row r="71" spans="1:21" ht="20.100000000000001" customHeight="1">
      <c r="A71" s="13"/>
      <c r="B71" s="13"/>
      <c r="C71" s="13"/>
      <c r="D71" s="13"/>
      <c r="E71" s="13"/>
      <c r="F71" s="13"/>
      <c r="G71" s="16"/>
      <c r="H71" s="16"/>
      <c r="I71" s="16"/>
      <c r="J71" s="16"/>
      <c r="K71" s="22" t="str">
        <f t="shared" si="4"/>
        <v/>
      </c>
      <c r="L71" s="22" t="str">
        <f>IF(A71="","",SUMIF(Nyílászárók!$C$6:$C$205,A71,Nyílászárók!$I$6:$I$205))</f>
        <v/>
      </c>
      <c r="M71" s="22" t="str">
        <f t="shared" si="5"/>
        <v/>
      </c>
      <c r="N71" s="16"/>
      <c r="O71" s="16"/>
      <c r="P71" s="16"/>
      <c r="Q71" s="13"/>
      <c r="R71" s="13"/>
      <c r="S71" s="13"/>
      <c r="T71" s="13"/>
      <c r="U71" s="13"/>
    </row>
    <row r="72" spans="1:21" ht="20.100000000000001" customHeight="1">
      <c r="A72" s="13"/>
      <c r="B72" s="13"/>
      <c r="C72" s="13"/>
      <c r="D72" s="13"/>
      <c r="E72" s="13"/>
      <c r="F72" s="13"/>
      <c r="G72" s="16"/>
      <c r="H72" s="16"/>
      <c r="I72" s="16"/>
      <c r="J72" s="16"/>
      <c r="K72" s="22" t="str">
        <f t="shared" si="4"/>
        <v/>
      </c>
      <c r="L72" s="22" t="str">
        <f>IF(A72="","",SUMIF(Nyílászárók!$C$6:$C$205,A72,Nyílászárók!$I$6:$I$205))</f>
        <v/>
      </c>
      <c r="M72" s="22" t="str">
        <f t="shared" si="5"/>
        <v/>
      </c>
      <c r="N72" s="16"/>
      <c r="O72" s="16"/>
      <c r="P72" s="16"/>
      <c r="Q72" s="13"/>
      <c r="R72" s="13"/>
      <c r="S72" s="13"/>
      <c r="T72" s="13"/>
      <c r="U72" s="13"/>
    </row>
    <row r="73" spans="1:21" ht="20.100000000000001" customHeight="1">
      <c r="A73" s="13"/>
      <c r="B73" s="13"/>
      <c r="C73" s="13"/>
      <c r="D73" s="13"/>
      <c r="E73" s="13"/>
      <c r="F73" s="13"/>
      <c r="G73" s="16"/>
      <c r="H73" s="16"/>
      <c r="I73" s="16"/>
      <c r="J73" s="16"/>
      <c r="K73" s="22" t="str">
        <f t="shared" si="4"/>
        <v/>
      </c>
      <c r="L73" s="22" t="str">
        <f>IF(A73="","",SUMIF(Nyílászárók!$C$6:$C$205,A73,Nyílászárók!$I$6:$I$205))</f>
        <v/>
      </c>
      <c r="M73" s="22" t="str">
        <f t="shared" si="5"/>
        <v/>
      </c>
      <c r="N73" s="16"/>
      <c r="O73" s="16"/>
      <c r="P73" s="16"/>
      <c r="Q73" s="13"/>
      <c r="R73" s="13"/>
      <c r="S73" s="13"/>
      <c r="T73" s="13"/>
      <c r="U73" s="13"/>
    </row>
    <row r="74" spans="1:21" ht="20.100000000000001" customHeight="1">
      <c r="A74" s="13"/>
      <c r="B74" s="13"/>
      <c r="C74" s="13"/>
      <c r="D74" s="13"/>
      <c r="E74" s="13"/>
      <c r="F74" s="13"/>
      <c r="G74" s="16"/>
      <c r="H74" s="16"/>
      <c r="I74" s="16"/>
      <c r="J74" s="16"/>
      <c r="K74" s="22" t="str">
        <f t="shared" si="4"/>
        <v/>
      </c>
      <c r="L74" s="22" t="str">
        <f>IF(A74="","",SUMIF(Nyílászárók!$C$6:$C$205,A74,Nyílászárók!$I$6:$I$205))</f>
        <v/>
      </c>
      <c r="M74" s="22" t="str">
        <f t="shared" si="5"/>
        <v/>
      </c>
      <c r="N74" s="16"/>
      <c r="O74" s="16"/>
      <c r="P74" s="16"/>
      <c r="Q74" s="13"/>
      <c r="R74" s="13"/>
      <c r="S74" s="13"/>
      <c r="T74" s="13"/>
      <c r="U74" s="13"/>
    </row>
    <row r="75" spans="1:21" ht="20.100000000000001" customHeight="1">
      <c r="A75" s="13"/>
      <c r="B75" s="13"/>
      <c r="C75" s="13"/>
      <c r="D75" s="13"/>
      <c r="E75" s="13"/>
      <c r="F75" s="13"/>
      <c r="G75" s="16"/>
      <c r="H75" s="16"/>
      <c r="I75" s="16"/>
      <c r="J75" s="16"/>
      <c r="K75" s="22" t="str">
        <f t="shared" si="4"/>
        <v/>
      </c>
      <c r="L75" s="22" t="str">
        <f>IF(A75="","",SUMIF(Nyílászárók!$C$6:$C$205,A75,Nyílászárók!$I$6:$I$205))</f>
        <v/>
      </c>
      <c r="M75" s="22" t="str">
        <f t="shared" si="5"/>
        <v/>
      </c>
      <c r="N75" s="16"/>
      <c r="O75" s="16"/>
      <c r="P75" s="16"/>
      <c r="Q75" s="13"/>
      <c r="R75" s="13"/>
      <c r="S75" s="13"/>
      <c r="T75" s="13"/>
      <c r="U75" s="13"/>
    </row>
    <row r="76" spans="1:21" ht="20.100000000000001" customHeight="1">
      <c r="A76" s="13"/>
      <c r="B76" s="13"/>
      <c r="C76" s="13"/>
      <c r="D76" s="13"/>
      <c r="E76" s="13"/>
      <c r="F76" s="13"/>
      <c r="G76" s="16"/>
      <c r="H76" s="16"/>
      <c r="I76" s="16"/>
      <c r="J76" s="16"/>
      <c r="K76" s="22" t="str">
        <f t="shared" si="4"/>
        <v/>
      </c>
      <c r="L76" s="22" t="str">
        <f>IF(A76="","",SUMIF(Nyílászárók!$C$6:$C$205,A76,Nyílászárók!$I$6:$I$205))</f>
        <v/>
      </c>
      <c r="M76" s="22" t="str">
        <f t="shared" si="5"/>
        <v/>
      </c>
      <c r="N76" s="16"/>
      <c r="O76" s="16"/>
      <c r="P76" s="16"/>
      <c r="Q76" s="13"/>
      <c r="R76" s="13"/>
      <c r="S76" s="13"/>
      <c r="T76" s="13"/>
      <c r="U76" s="13"/>
    </row>
    <row r="77" spans="1:21" ht="20.100000000000001" customHeight="1">
      <c r="A77" s="13"/>
      <c r="B77" s="13"/>
      <c r="C77" s="13"/>
      <c r="D77" s="13"/>
      <c r="E77" s="13"/>
      <c r="F77" s="13"/>
      <c r="G77" s="16"/>
      <c r="H77" s="16"/>
      <c r="I77" s="16"/>
      <c r="J77" s="16"/>
      <c r="K77" s="22" t="str">
        <f t="shared" si="4"/>
        <v/>
      </c>
      <c r="L77" s="22" t="str">
        <f>IF(A77="","",SUMIF(Nyílászárók!$C$6:$C$205,A77,Nyílászárók!$I$6:$I$205))</f>
        <v/>
      </c>
      <c r="M77" s="22" t="str">
        <f t="shared" si="5"/>
        <v/>
      </c>
      <c r="N77" s="16"/>
      <c r="O77" s="16"/>
      <c r="P77" s="16"/>
      <c r="Q77" s="13"/>
      <c r="R77" s="13"/>
      <c r="S77" s="13"/>
      <c r="T77" s="13"/>
      <c r="U77" s="13"/>
    </row>
    <row r="78" spans="1:21" ht="20.100000000000001" customHeight="1">
      <c r="A78" s="13"/>
      <c r="B78" s="13"/>
      <c r="C78" s="13"/>
      <c r="D78" s="13"/>
      <c r="E78" s="13"/>
      <c r="F78" s="13"/>
      <c r="G78" s="16"/>
      <c r="H78" s="16"/>
      <c r="I78" s="16"/>
      <c r="J78" s="16"/>
      <c r="K78" s="22" t="str">
        <f t="shared" si="4"/>
        <v/>
      </c>
      <c r="L78" s="22" t="str">
        <f>IF(A78="","",SUMIF(Nyílászárók!$C$6:$C$205,A78,Nyílászárók!$I$6:$I$205))</f>
        <v/>
      </c>
      <c r="M78" s="22" t="str">
        <f t="shared" si="5"/>
        <v/>
      </c>
      <c r="N78" s="16"/>
      <c r="O78" s="16"/>
      <c r="P78" s="16"/>
      <c r="Q78" s="13"/>
      <c r="R78" s="13"/>
      <c r="S78" s="13"/>
      <c r="T78" s="13"/>
      <c r="U78" s="13"/>
    </row>
    <row r="79" spans="1:21" ht="20.100000000000001" customHeight="1">
      <c r="A79" s="13"/>
      <c r="B79" s="13"/>
      <c r="C79" s="13"/>
      <c r="D79" s="13"/>
      <c r="E79" s="13"/>
      <c r="F79" s="13"/>
      <c r="G79" s="16"/>
      <c r="H79" s="16"/>
      <c r="I79" s="16"/>
      <c r="J79" s="16"/>
      <c r="K79" s="22" t="str">
        <f t="shared" si="4"/>
        <v/>
      </c>
      <c r="L79" s="22" t="str">
        <f>IF(A79="","",SUMIF(Nyílászárók!$C$6:$C$205,A79,Nyílászárók!$I$6:$I$205))</f>
        <v/>
      </c>
      <c r="M79" s="22" t="str">
        <f t="shared" si="5"/>
        <v/>
      </c>
      <c r="N79" s="16"/>
      <c r="O79" s="16"/>
      <c r="P79" s="16"/>
      <c r="Q79" s="13"/>
      <c r="R79" s="13"/>
      <c r="S79" s="13"/>
      <c r="T79" s="13"/>
      <c r="U79" s="13"/>
    </row>
    <row r="80" spans="1:21" ht="20.100000000000001" customHeight="1">
      <c r="A80" s="13"/>
      <c r="B80" s="13"/>
      <c r="C80" s="13"/>
      <c r="D80" s="13"/>
      <c r="E80" s="13"/>
      <c r="F80" s="13"/>
      <c r="G80" s="16"/>
      <c r="H80" s="16"/>
      <c r="I80" s="16"/>
      <c r="J80" s="16"/>
      <c r="K80" s="22" t="str">
        <f t="shared" si="4"/>
        <v/>
      </c>
      <c r="L80" s="22" t="str">
        <f>IF(A80="","",SUMIF(Nyílászárók!$C$6:$C$205,A80,Nyílászárók!$I$6:$I$205))</f>
        <v/>
      </c>
      <c r="M80" s="22" t="str">
        <f t="shared" si="5"/>
        <v/>
      </c>
      <c r="N80" s="16"/>
      <c r="O80" s="16"/>
      <c r="P80" s="16"/>
      <c r="Q80" s="13"/>
      <c r="R80" s="13"/>
      <c r="S80" s="13"/>
      <c r="T80" s="13"/>
      <c r="U80" s="13"/>
    </row>
    <row r="81" spans="1:21" ht="20.100000000000001" customHeight="1">
      <c r="A81" s="13"/>
      <c r="B81" s="13"/>
      <c r="C81" s="13"/>
      <c r="D81" s="13"/>
      <c r="E81" s="13"/>
      <c r="F81" s="13"/>
      <c r="G81" s="16"/>
      <c r="H81" s="16"/>
      <c r="I81" s="16"/>
      <c r="J81" s="16"/>
      <c r="K81" s="22" t="str">
        <f t="shared" si="4"/>
        <v/>
      </c>
      <c r="L81" s="22" t="str">
        <f>IF(A81="","",SUMIF(Nyílászárók!$C$6:$C$205,A81,Nyílászárók!$I$6:$I$205))</f>
        <v/>
      </c>
      <c r="M81" s="22" t="str">
        <f t="shared" si="5"/>
        <v/>
      </c>
      <c r="N81" s="16"/>
      <c r="O81" s="16"/>
      <c r="P81" s="16"/>
      <c r="Q81" s="13"/>
      <c r="R81" s="13"/>
      <c r="S81" s="13"/>
      <c r="T81" s="13"/>
      <c r="U81" s="13"/>
    </row>
    <row r="82" spans="1:21" ht="20.100000000000001" customHeight="1">
      <c r="A82" s="13"/>
      <c r="B82" s="13"/>
      <c r="C82" s="13"/>
      <c r="D82" s="13"/>
      <c r="E82" s="13"/>
      <c r="F82" s="13"/>
      <c r="G82" s="16"/>
      <c r="H82" s="16"/>
      <c r="I82" s="16"/>
      <c r="J82" s="16"/>
      <c r="K82" s="22" t="str">
        <f t="shared" si="4"/>
        <v/>
      </c>
      <c r="L82" s="22" t="str">
        <f>IF(A82="","",SUMIF(Nyílászárók!$C$6:$C$205,A82,Nyílászárók!$I$6:$I$205))</f>
        <v/>
      </c>
      <c r="M82" s="22" t="str">
        <f t="shared" si="5"/>
        <v/>
      </c>
      <c r="N82" s="16"/>
      <c r="O82" s="16"/>
      <c r="P82" s="16"/>
      <c r="Q82" s="13"/>
      <c r="R82" s="13"/>
      <c r="S82" s="13"/>
      <c r="T82" s="13"/>
      <c r="U82" s="13"/>
    </row>
    <row r="83" spans="1:21" ht="20.100000000000001" customHeight="1">
      <c r="A83" s="13"/>
      <c r="B83" s="13"/>
      <c r="C83" s="13"/>
      <c r="D83" s="13"/>
      <c r="E83" s="13"/>
      <c r="F83" s="13"/>
      <c r="G83" s="16"/>
      <c r="H83" s="16"/>
      <c r="I83" s="16"/>
      <c r="J83" s="16"/>
      <c r="K83" s="22" t="str">
        <f t="shared" si="4"/>
        <v/>
      </c>
      <c r="L83" s="22" t="str">
        <f>IF(A83="","",SUMIF(Nyílászárók!$C$6:$C$205,A83,Nyílászárók!$I$6:$I$205))</f>
        <v/>
      </c>
      <c r="M83" s="22" t="str">
        <f t="shared" si="5"/>
        <v/>
      </c>
      <c r="N83" s="16"/>
      <c r="O83" s="16"/>
      <c r="P83" s="16"/>
      <c r="Q83" s="13"/>
      <c r="R83" s="13"/>
      <c r="S83" s="13"/>
      <c r="T83" s="13"/>
      <c r="U83" s="13"/>
    </row>
    <row r="84" spans="1:21" ht="20.100000000000001" customHeight="1">
      <c r="A84" s="13"/>
      <c r="B84" s="13"/>
      <c r="C84" s="13"/>
      <c r="D84" s="13"/>
      <c r="E84" s="13"/>
      <c r="F84" s="13"/>
      <c r="G84" s="16"/>
      <c r="H84" s="16"/>
      <c r="I84" s="16"/>
      <c r="J84" s="16"/>
      <c r="K84" s="22" t="str">
        <f t="shared" si="4"/>
        <v/>
      </c>
      <c r="L84" s="22" t="str">
        <f>IF(A84="","",SUMIF(Nyílászárók!$C$6:$C$205,A84,Nyílászárók!$I$6:$I$205))</f>
        <v/>
      </c>
      <c r="M84" s="22" t="str">
        <f t="shared" si="5"/>
        <v/>
      </c>
      <c r="N84" s="16"/>
      <c r="O84" s="16"/>
      <c r="P84" s="16"/>
      <c r="Q84" s="13"/>
      <c r="R84" s="13"/>
      <c r="S84" s="13"/>
      <c r="T84" s="13"/>
      <c r="U84" s="13"/>
    </row>
    <row r="85" spans="1:21" ht="20.100000000000001" customHeight="1">
      <c r="A85" s="13"/>
      <c r="B85" s="13"/>
      <c r="C85" s="13"/>
      <c r="D85" s="13"/>
      <c r="E85" s="13"/>
      <c r="F85" s="13"/>
      <c r="G85" s="16"/>
      <c r="H85" s="16"/>
      <c r="I85" s="16"/>
      <c r="J85" s="16"/>
      <c r="K85" s="22" t="str">
        <f t="shared" si="4"/>
        <v/>
      </c>
      <c r="L85" s="22" t="str">
        <f>IF(A85="","",SUMIF(Nyílászárók!$C$6:$C$205,A85,Nyílászárók!$I$6:$I$205))</f>
        <v/>
      </c>
      <c r="M85" s="22" t="str">
        <f t="shared" si="5"/>
        <v/>
      </c>
      <c r="N85" s="16"/>
      <c r="O85" s="16"/>
      <c r="P85" s="16"/>
      <c r="Q85" s="13"/>
      <c r="R85" s="13"/>
      <c r="S85" s="13"/>
      <c r="T85" s="13"/>
      <c r="U85" s="13"/>
    </row>
    <row r="86" spans="1:21" ht="20.100000000000001" customHeight="1">
      <c r="A86" s="13"/>
      <c r="B86" s="13"/>
      <c r="C86" s="13"/>
      <c r="D86" s="13"/>
      <c r="E86" s="13"/>
      <c r="F86" s="13"/>
      <c r="G86" s="16"/>
      <c r="H86" s="16"/>
      <c r="I86" s="16"/>
      <c r="J86" s="16"/>
      <c r="K86" s="22" t="str">
        <f t="shared" si="4"/>
        <v/>
      </c>
      <c r="L86" s="22" t="str">
        <f>IF(A86="","",SUMIF(Nyílászárók!$C$6:$C$205,A86,Nyílászárók!$I$6:$I$205))</f>
        <v/>
      </c>
      <c r="M86" s="22" t="str">
        <f t="shared" si="5"/>
        <v/>
      </c>
      <c r="N86" s="16"/>
      <c r="O86" s="16"/>
      <c r="P86" s="16"/>
      <c r="Q86" s="13"/>
      <c r="R86" s="13"/>
      <c r="S86" s="13"/>
      <c r="T86" s="13"/>
      <c r="U86" s="13"/>
    </row>
    <row r="87" spans="1:21" ht="20.100000000000001" customHeight="1">
      <c r="A87" s="13"/>
      <c r="B87" s="13"/>
      <c r="C87" s="13"/>
      <c r="D87" s="13"/>
      <c r="E87" s="13"/>
      <c r="F87" s="13"/>
      <c r="G87" s="16"/>
      <c r="H87" s="16"/>
      <c r="I87" s="16"/>
      <c r="J87" s="16"/>
      <c r="K87" s="22" t="str">
        <f t="shared" si="4"/>
        <v/>
      </c>
      <c r="L87" s="22" t="str">
        <f>IF(A87="","",SUMIF(Nyílászárók!$C$6:$C$205,A87,Nyílászárók!$I$6:$I$205))</f>
        <v/>
      </c>
      <c r="M87" s="22" t="str">
        <f t="shared" si="5"/>
        <v/>
      </c>
      <c r="N87" s="16"/>
      <c r="O87" s="16"/>
      <c r="P87" s="16"/>
      <c r="Q87" s="13"/>
      <c r="R87" s="13"/>
      <c r="S87" s="13"/>
      <c r="T87" s="13"/>
      <c r="U87" s="13"/>
    </row>
    <row r="88" spans="1:21" ht="20.100000000000001" customHeight="1">
      <c r="A88" s="13"/>
      <c r="B88" s="13"/>
      <c r="C88" s="13"/>
      <c r="D88" s="13"/>
      <c r="E88" s="13"/>
      <c r="F88" s="13"/>
      <c r="G88" s="16"/>
      <c r="H88" s="16"/>
      <c r="I88" s="16"/>
      <c r="J88" s="16"/>
      <c r="K88" s="22" t="str">
        <f t="shared" si="4"/>
        <v/>
      </c>
      <c r="L88" s="22" t="str">
        <f>IF(A88="","",SUMIF(Nyílászárók!$C$6:$C$205,A88,Nyílászárók!$I$6:$I$205))</f>
        <v/>
      </c>
      <c r="M88" s="22" t="str">
        <f t="shared" si="5"/>
        <v/>
      </c>
      <c r="N88" s="16"/>
      <c r="O88" s="16"/>
      <c r="P88" s="16"/>
      <c r="Q88" s="13"/>
      <c r="R88" s="13"/>
      <c r="S88" s="13"/>
      <c r="T88" s="13"/>
      <c r="U88" s="13"/>
    </row>
    <row r="89" spans="1:21" ht="20.100000000000001" customHeight="1">
      <c r="A89" s="13"/>
      <c r="B89" s="13"/>
      <c r="C89" s="13"/>
      <c r="D89" s="13"/>
      <c r="E89" s="13"/>
      <c r="F89" s="13"/>
      <c r="G89" s="16"/>
      <c r="H89" s="16"/>
      <c r="I89" s="16"/>
      <c r="J89" s="16"/>
      <c r="K89" s="22" t="str">
        <f t="shared" si="4"/>
        <v/>
      </c>
      <c r="L89" s="22" t="str">
        <f>IF(A89="","",SUMIF(Nyílászárók!$C$6:$C$205,A89,Nyílászárók!$I$6:$I$205))</f>
        <v/>
      </c>
      <c r="M89" s="22" t="str">
        <f t="shared" si="5"/>
        <v/>
      </c>
      <c r="N89" s="16"/>
      <c r="O89" s="16"/>
      <c r="P89" s="16"/>
      <c r="Q89" s="13"/>
      <c r="R89" s="13"/>
      <c r="S89" s="13"/>
      <c r="T89" s="13"/>
      <c r="U89" s="13"/>
    </row>
    <row r="90" spans="1:21" ht="20.100000000000001" customHeight="1">
      <c r="A90" s="13"/>
      <c r="B90" s="13"/>
      <c r="C90" s="13"/>
      <c r="D90" s="13"/>
      <c r="E90" s="13"/>
      <c r="F90" s="13"/>
      <c r="G90" s="16"/>
      <c r="H90" s="16"/>
      <c r="I90" s="16"/>
      <c r="J90" s="16"/>
      <c r="K90" s="22" t="str">
        <f t="shared" si="4"/>
        <v/>
      </c>
      <c r="L90" s="22" t="str">
        <f>IF(A90="","",SUMIF(Nyílászárók!$C$6:$C$205,A90,Nyílászárók!$I$6:$I$205))</f>
        <v/>
      </c>
      <c r="M90" s="22" t="str">
        <f t="shared" si="5"/>
        <v/>
      </c>
      <c r="N90" s="16"/>
      <c r="O90" s="16"/>
      <c r="P90" s="16"/>
      <c r="Q90" s="13"/>
      <c r="R90" s="13"/>
      <c r="S90" s="13"/>
      <c r="T90" s="13"/>
      <c r="U90" s="13"/>
    </row>
    <row r="91" spans="1:21" ht="20.100000000000001" customHeight="1">
      <c r="A91" s="13"/>
      <c r="B91" s="13"/>
      <c r="C91" s="13"/>
      <c r="D91" s="13"/>
      <c r="E91" s="13"/>
      <c r="F91" s="13"/>
      <c r="G91" s="16"/>
      <c r="H91" s="16"/>
      <c r="I91" s="16"/>
      <c r="J91" s="16"/>
      <c r="K91" s="22" t="str">
        <f t="shared" si="4"/>
        <v/>
      </c>
      <c r="L91" s="22" t="str">
        <f>IF(A91="","",SUMIF(Nyílászárók!$C$6:$C$205,A91,Nyílászárók!$I$6:$I$205))</f>
        <v/>
      </c>
      <c r="M91" s="22" t="str">
        <f t="shared" si="5"/>
        <v/>
      </c>
      <c r="N91" s="16"/>
      <c r="O91" s="16"/>
      <c r="P91" s="16"/>
      <c r="Q91" s="13"/>
      <c r="R91" s="13"/>
      <c r="S91" s="13"/>
      <c r="T91" s="13"/>
      <c r="U91" s="13"/>
    </row>
    <row r="92" spans="1:21" ht="20.100000000000001" customHeight="1">
      <c r="A92" s="13"/>
      <c r="B92" s="13"/>
      <c r="C92" s="13"/>
      <c r="D92" s="13"/>
      <c r="E92" s="13"/>
      <c r="F92" s="13"/>
      <c r="G92" s="16"/>
      <c r="H92" s="16"/>
      <c r="I92" s="16"/>
      <c r="J92" s="16"/>
      <c r="K92" s="22" t="str">
        <f t="shared" si="4"/>
        <v/>
      </c>
      <c r="L92" s="22" t="str">
        <f>IF(A92="","",SUMIF(Nyílászárók!$C$6:$C$205,A92,Nyílászárók!$I$6:$I$205))</f>
        <v/>
      </c>
      <c r="M92" s="22" t="str">
        <f t="shared" si="5"/>
        <v/>
      </c>
      <c r="N92" s="16"/>
      <c r="O92" s="16"/>
      <c r="P92" s="16"/>
      <c r="Q92" s="13"/>
      <c r="R92" s="13"/>
      <c r="S92" s="13"/>
      <c r="T92" s="13"/>
      <c r="U92" s="13"/>
    </row>
    <row r="93" spans="1:21" ht="20.100000000000001" customHeight="1">
      <c r="A93" s="13"/>
      <c r="B93" s="13"/>
      <c r="C93" s="13"/>
      <c r="D93" s="13"/>
      <c r="E93" s="13"/>
      <c r="F93" s="13"/>
      <c r="G93" s="16"/>
      <c r="H93" s="16"/>
      <c r="I93" s="16"/>
      <c r="J93" s="16"/>
      <c r="K93" s="22" t="str">
        <f t="shared" si="4"/>
        <v/>
      </c>
      <c r="L93" s="22" t="str">
        <f>IF(A93="","",SUMIF(Nyílászárók!$C$6:$C$205,A93,Nyílászárók!$I$6:$I$205))</f>
        <v/>
      </c>
      <c r="M93" s="22" t="str">
        <f t="shared" si="5"/>
        <v/>
      </c>
      <c r="N93" s="16"/>
      <c r="O93" s="16"/>
      <c r="P93" s="16"/>
      <c r="Q93" s="13"/>
      <c r="R93" s="13"/>
      <c r="S93" s="13"/>
      <c r="T93" s="13"/>
      <c r="U93" s="13"/>
    </row>
    <row r="94" spans="1:21" ht="20.100000000000001" customHeight="1">
      <c r="A94" s="13"/>
      <c r="B94" s="13"/>
      <c r="C94" s="13"/>
      <c r="D94" s="13"/>
      <c r="E94" s="13"/>
      <c r="F94" s="13"/>
      <c r="G94" s="16"/>
      <c r="H94" s="16"/>
      <c r="I94" s="16"/>
      <c r="J94" s="16"/>
      <c r="K94" s="22" t="str">
        <f t="shared" si="4"/>
        <v/>
      </c>
      <c r="L94" s="22" t="str">
        <f>IF(A94="","",SUMIF(Nyílászárók!$C$6:$C$205,A94,Nyílászárók!$I$6:$I$205))</f>
        <v/>
      </c>
      <c r="M94" s="22" t="str">
        <f t="shared" si="5"/>
        <v/>
      </c>
      <c r="N94" s="16"/>
      <c r="O94" s="16"/>
      <c r="P94" s="16"/>
      <c r="Q94" s="13"/>
      <c r="R94" s="13"/>
      <c r="S94" s="13"/>
      <c r="T94" s="13"/>
      <c r="U94" s="13"/>
    </row>
    <row r="95" spans="1:21" ht="20.100000000000001" customHeight="1">
      <c r="A95" s="13"/>
      <c r="B95" s="13"/>
      <c r="C95" s="13"/>
      <c r="D95" s="13"/>
      <c r="E95" s="13"/>
      <c r="F95" s="13"/>
      <c r="G95" s="16"/>
      <c r="H95" s="16"/>
      <c r="I95" s="16"/>
      <c r="J95" s="16"/>
      <c r="K95" s="22" t="str">
        <f t="shared" si="4"/>
        <v/>
      </c>
      <c r="L95" s="22" t="str">
        <f>IF(A95="","",SUMIF(Nyílászárók!$C$6:$C$205,A95,Nyílászárók!$I$6:$I$205))</f>
        <v/>
      </c>
      <c r="M95" s="22" t="str">
        <f t="shared" si="5"/>
        <v/>
      </c>
      <c r="N95" s="16"/>
      <c r="O95" s="16"/>
      <c r="P95" s="16"/>
      <c r="Q95" s="13"/>
      <c r="R95" s="13"/>
      <c r="S95" s="13"/>
      <c r="T95" s="13"/>
      <c r="U95" s="13"/>
    </row>
    <row r="96" spans="1:21" ht="20.100000000000001" customHeight="1">
      <c r="A96" s="13"/>
      <c r="B96" s="13"/>
      <c r="C96" s="13"/>
      <c r="D96" s="13"/>
      <c r="E96" s="13"/>
      <c r="F96" s="13"/>
      <c r="G96" s="16"/>
      <c r="H96" s="16"/>
      <c r="I96" s="16"/>
      <c r="J96" s="16"/>
      <c r="K96" s="22" t="str">
        <f t="shared" si="4"/>
        <v/>
      </c>
      <c r="L96" s="22" t="str">
        <f>IF(A96="","",SUMIF(Nyílászárók!$C$6:$C$205,A96,Nyílászárók!$I$6:$I$205))</f>
        <v/>
      </c>
      <c r="M96" s="22" t="str">
        <f t="shared" si="5"/>
        <v/>
      </c>
      <c r="N96" s="16"/>
      <c r="O96" s="16"/>
      <c r="P96" s="16"/>
      <c r="Q96" s="13"/>
      <c r="R96" s="13"/>
      <c r="S96" s="13"/>
      <c r="T96" s="13"/>
      <c r="U96" s="13"/>
    </row>
    <row r="97" spans="1:21" ht="20.100000000000001" customHeight="1">
      <c r="A97" s="13"/>
      <c r="B97" s="13"/>
      <c r="C97" s="13"/>
      <c r="D97" s="13"/>
      <c r="E97" s="13"/>
      <c r="F97" s="13"/>
      <c r="G97" s="16"/>
      <c r="H97" s="16"/>
      <c r="I97" s="16"/>
      <c r="J97" s="16"/>
      <c r="K97" s="22" t="str">
        <f t="shared" si="4"/>
        <v/>
      </c>
      <c r="L97" s="22" t="str">
        <f>IF(A97="","",SUMIF(Nyílászárók!$C$6:$C$205,A97,Nyílászárók!$I$6:$I$205))</f>
        <v/>
      </c>
      <c r="M97" s="22" t="str">
        <f t="shared" si="5"/>
        <v/>
      </c>
      <c r="N97" s="16"/>
      <c r="O97" s="16"/>
      <c r="P97" s="16"/>
      <c r="Q97" s="13"/>
      <c r="R97" s="13"/>
      <c r="S97" s="13"/>
      <c r="T97" s="13"/>
      <c r="U97" s="13"/>
    </row>
    <row r="98" spans="1:21" ht="20.100000000000001" customHeight="1">
      <c r="A98" s="13"/>
      <c r="B98" s="13"/>
      <c r="C98" s="13"/>
      <c r="D98" s="13"/>
      <c r="E98" s="13"/>
      <c r="F98" s="13"/>
      <c r="G98" s="16"/>
      <c r="H98" s="16"/>
      <c r="I98" s="16"/>
      <c r="J98" s="16"/>
      <c r="K98" s="22" t="str">
        <f t="shared" si="4"/>
        <v/>
      </c>
      <c r="L98" s="22" t="str">
        <f>IF(A98="","",SUMIF(Nyílászárók!$C$6:$C$205,A98,Nyílászárók!$I$6:$I$205))</f>
        <v/>
      </c>
      <c r="M98" s="22" t="str">
        <f t="shared" si="5"/>
        <v/>
      </c>
      <c r="N98" s="16"/>
      <c r="O98" s="16"/>
      <c r="P98" s="16"/>
      <c r="Q98" s="13"/>
      <c r="R98" s="13"/>
      <c r="S98" s="13"/>
      <c r="T98" s="13"/>
      <c r="U98" s="13"/>
    </row>
    <row r="99" spans="1:21" ht="20.100000000000001" customHeight="1">
      <c r="A99" s="13"/>
      <c r="B99" s="13"/>
      <c r="C99" s="13"/>
      <c r="D99" s="13"/>
      <c r="E99" s="13"/>
      <c r="F99" s="13"/>
      <c r="G99" s="16"/>
      <c r="H99" s="16"/>
      <c r="I99" s="16"/>
      <c r="J99" s="16"/>
      <c r="K99" s="22" t="str">
        <f t="shared" si="4"/>
        <v/>
      </c>
      <c r="L99" s="22" t="str">
        <f>IF(A99="","",SUMIF(Nyílászárók!$C$6:$C$205,A99,Nyílászárók!$I$6:$I$205))</f>
        <v/>
      </c>
      <c r="M99" s="22" t="str">
        <f t="shared" si="5"/>
        <v/>
      </c>
      <c r="N99" s="16"/>
      <c r="O99" s="16"/>
      <c r="P99" s="16"/>
      <c r="Q99" s="13"/>
      <c r="R99" s="13"/>
      <c r="S99" s="13"/>
      <c r="T99" s="13"/>
      <c r="U99" s="13"/>
    </row>
    <row r="100" spans="1:21" ht="20.100000000000001" customHeight="1">
      <c r="A100" s="13"/>
      <c r="B100" s="13"/>
      <c r="C100" s="13"/>
      <c r="D100" s="13"/>
      <c r="E100" s="13"/>
      <c r="F100" s="13"/>
      <c r="G100" s="16"/>
      <c r="H100" s="16"/>
      <c r="I100" s="16"/>
      <c r="J100" s="16"/>
      <c r="K100" s="22" t="str">
        <f t="shared" si="4"/>
        <v/>
      </c>
      <c r="L100" s="22" t="str">
        <f>IF(A100="","",SUMIF(Nyílászárók!$C$6:$C$205,A100,Nyílászárók!$I$6:$I$205))</f>
        <v/>
      </c>
      <c r="M100" s="22" t="str">
        <f t="shared" si="5"/>
        <v/>
      </c>
      <c r="N100" s="16"/>
      <c r="O100" s="16"/>
      <c r="P100" s="16"/>
      <c r="Q100" s="13"/>
      <c r="R100" s="13"/>
      <c r="S100" s="13"/>
      <c r="T100" s="13"/>
      <c r="U100" s="13"/>
    </row>
    <row r="101" spans="1:21" ht="20.100000000000001" customHeight="1">
      <c r="A101" s="13"/>
      <c r="B101" s="13"/>
      <c r="C101" s="13"/>
      <c r="D101" s="13"/>
      <c r="E101" s="13"/>
      <c r="F101" s="13"/>
      <c r="G101" s="16"/>
      <c r="H101" s="16"/>
      <c r="I101" s="16"/>
      <c r="J101" s="16"/>
      <c r="K101" s="22" t="str">
        <f t="shared" si="4"/>
        <v/>
      </c>
      <c r="L101" s="22" t="str">
        <f>IF(A101="","",SUMIF(Nyílászárók!$C$6:$C$205,A101,Nyílászárók!$I$6:$I$205))</f>
        <v/>
      </c>
      <c r="M101" s="22" t="str">
        <f t="shared" si="5"/>
        <v/>
      </c>
      <c r="N101" s="16"/>
      <c r="O101" s="16"/>
      <c r="P101" s="16"/>
      <c r="Q101" s="13"/>
      <c r="R101" s="13"/>
      <c r="S101" s="13"/>
      <c r="T101" s="13"/>
      <c r="U101" s="13"/>
    </row>
    <row r="102" spans="1:21" ht="20.100000000000001" customHeight="1">
      <c r="A102" s="13"/>
      <c r="B102" s="13"/>
      <c r="C102" s="13"/>
      <c r="D102" s="13"/>
      <c r="E102" s="13"/>
      <c r="F102" s="13"/>
      <c r="G102" s="16"/>
      <c r="H102" s="16"/>
      <c r="I102" s="16"/>
      <c r="J102" s="16"/>
      <c r="K102" s="22" t="str">
        <f t="shared" ref="K102:K133" si="6">IF(A102="","",IF(J102&lt;&gt;"",J102,IF(OR(H102="",I102=""),"",H102*I102)))</f>
        <v/>
      </c>
      <c r="L102" s="22" t="str">
        <f>IF(A102="","",SUMIF(Nyílászárók!$C$6:$C$205,A102,Nyílászárók!$I$6:$I$205))</f>
        <v/>
      </c>
      <c r="M102" s="22" t="str">
        <f t="shared" ref="M102:M133" si="7">IF(A102="","",IF(K102="","",K102-L102))</f>
        <v/>
      </c>
      <c r="N102" s="16"/>
      <c r="O102" s="16"/>
      <c r="P102" s="16"/>
      <c r="Q102" s="13"/>
      <c r="R102" s="13"/>
      <c r="S102" s="13"/>
      <c r="T102" s="13"/>
      <c r="U102" s="13"/>
    </row>
    <row r="103" spans="1:21" ht="20.100000000000001" customHeight="1">
      <c r="A103" s="13"/>
      <c r="B103" s="13"/>
      <c r="C103" s="13"/>
      <c r="D103" s="13"/>
      <c r="E103" s="13"/>
      <c r="F103" s="13"/>
      <c r="G103" s="16"/>
      <c r="H103" s="16"/>
      <c r="I103" s="16"/>
      <c r="J103" s="16"/>
      <c r="K103" s="22" t="str">
        <f t="shared" si="6"/>
        <v/>
      </c>
      <c r="L103" s="22" t="str">
        <f>IF(A103="","",SUMIF(Nyílászárók!$C$6:$C$205,A103,Nyílászárók!$I$6:$I$205))</f>
        <v/>
      </c>
      <c r="M103" s="22" t="str">
        <f t="shared" si="7"/>
        <v/>
      </c>
      <c r="N103" s="16"/>
      <c r="O103" s="16"/>
      <c r="P103" s="16"/>
      <c r="Q103" s="13"/>
      <c r="R103" s="13"/>
      <c r="S103" s="13"/>
      <c r="T103" s="13"/>
      <c r="U103" s="13"/>
    </row>
    <row r="104" spans="1:21" ht="20.100000000000001" customHeight="1">
      <c r="A104" s="13"/>
      <c r="B104" s="13"/>
      <c r="C104" s="13"/>
      <c r="D104" s="13"/>
      <c r="E104" s="13"/>
      <c r="F104" s="13"/>
      <c r="G104" s="16"/>
      <c r="H104" s="16"/>
      <c r="I104" s="16"/>
      <c r="J104" s="16"/>
      <c r="K104" s="22" t="str">
        <f t="shared" si="6"/>
        <v/>
      </c>
      <c r="L104" s="22" t="str">
        <f>IF(A104="","",SUMIF(Nyílászárók!$C$6:$C$205,A104,Nyílászárók!$I$6:$I$205))</f>
        <v/>
      </c>
      <c r="M104" s="22" t="str">
        <f t="shared" si="7"/>
        <v/>
      </c>
      <c r="N104" s="16"/>
      <c r="O104" s="16"/>
      <c r="P104" s="16"/>
      <c r="Q104" s="13"/>
      <c r="R104" s="13"/>
      <c r="S104" s="13"/>
      <c r="T104" s="13"/>
      <c r="U104" s="13"/>
    </row>
    <row r="105" spans="1:21" ht="20.100000000000001" customHeight="1">
      <c r="A105" s="13"/>
      <c r="B105" s="13"/>
      <c r="C105" s="13"/>
      <c r="D105" s="13"/>
      <c r="E105" s="13"/>
      <c r="F105" s="13"/>
      <c r="G105" s="16"/>
      <c r="H105" s="16"/>
      <c r="I105" s="16"/>
      <c r="J105" s="16"/>
      <c r="K105" s="22" t="str">
        <f t="shared" si="6"/>
        <v/>
      </c>
      <c r="L105" s="22" t="str">
        <f>IF(A105="","",SUMIF(Nyílászárók!$C$6:$C$205,A105,Nyílászárók!$I$6:$I$205))</f>
        <v/>
      </c>
      <c r="M105" s="22" t="str">
        <f t="shared" si="7"/>
        <v/>
      </c>
      <c r="N105" s="16"/>
      <c r="O105" s="16"/>
      <c r="P105" s="16"/>
      <c r="Q105" s="13"/>
      <c r="R105" s="13"/>
      <c r="S105" s="13"/>
      <c r="T105" s="13"/>
      <c r="U105" s="13"/>
    </row>
    <row r="106" spans="1:21" ht="20.100000000000001" customHeight="1">
      <c r="A106" s="13"/>
      <c r="B106" s="13"/>
      <c r="C106" s="13"/>
      <c r="D106" s="13"/>
      <c r="E106" s="13"/>
      <c r="F106" s="13"/>
      <c r="G106" s="16"/>
      <c r="H106" s="16"/>
      <c r="I106" s="16"/>
      <c r="J106" s="16"/>
      <c r="K106" s="22" t="str">
        <f t="shared" si="6"/>
        <v/>
      </c>
      <c r="L106" s="22" t="str">
        <f>IF(A106="","",SUMIF(Nyílászárók!$C$6:$C$205,A106,Nyílászárók!$I$6:$I$205))</f>
        <v/>
      </c>
      <c r="M106" s="22" t="str">
        <f t="shared" si="7"/>
        <v/>
      </c>
      <c r="N106" s="16"/>
      <c r="O106" s="16"/>
      <c r="P106" s="16"/>
      <c r="Q106" s="13"/>
      <c r="R106" s="13"/>
      <c r="S106" s="13"/>
      <c r="T106" s="13"/>
      <c r="U106" s="13"/>
    </row>
    <row r="107" spans="1:21" ht="20.100000000000001" customHeight="1">
      <c r="A107" s="13"/>
      <c r="B107" s="13"/>
      <c r="C107" s="13"/>
      <c r="D107" s="13"/>
      <c r="E107" s="13"/>
      <c r="F107" s="13"/>
      <c r="G107" s="16"/>
      <c r="H107" s="16"/>
      <c r="I107" s="16"/>
      <c r="J107" s="16"/>
      <c r="K107" s="22" t="str">
        <f t="shared" si="6"/>
        <v/>
      </c>
      <c r="L107" s="22" t="str">
        <f>IF(A107="","",SUMIF(Nyílászárók!$C$6:$C$205,A107,Nyílászárók!$I$6:$I$205))</f>
        <v/>
      </c>
      <c r="M107" s="22" t="str">
        <f t="shared" si="7"/>
        <v/>
      </c>
      <c r="N107" s="16"/>
      <c r="O107" s="16"/>
      <c r="P107" s="16"/>
      <c r="Q107" s="13"/>
      <c r="R107" s="13"/>
      <c r="S107" s="13"/>
      <c r="T107" s="13"/>
      <c r="U107" s="13"/>
    </row>
    <row r="108" spans="1:21" ht="20.100000000000001" customHeight="1">
      <c r="A108" s="13"/>
      <c r="B108" s="13"/>
      <c r="C108" s="13"/>
      <c r="D108" s="13"/>
      <c r="E108" s="13"/>
      <c r="F108" s="13"/>
      <c r="G108" s="16"/>
      <c r="H108" s="16"/>
      <c r="I108" s="16"/>
      <c r="J108" s="16"/>
      <c r="K108" s="22" t="str">
        <f t="shared" si="6"/>
        <v/>
      </c>
      <c r="L108" s="22" t="str">
        <f>IF(A108="","",SUMIF(Nyílászárók!$C$6:$C$205,A108,Nyílászárók!$I$6:$I$205))</f>
        <v/>
      </c>
      <c r="M108" s="22" t="str">
        <f t="shared" si="7"/>
        <v/>
      </c>
      <c r="N108" s="16"/>
      <c r="O108" s="16"/>
      <c r="P108" s="16"/>
      <c r="Q108" s="13"/>
      <c r="R108" s="13"/>
      <c r="S108" s="13"/>
      <c r="T108" s="13"/>
      <c r="U108" s="13"/>
    </row>
    <row r="109" spans="1:21" ht="20.100000000000001" customHeight="1">
      <c r="A109" s="13"/>
      <c r="B109" s="13"/>
      <c r="C109" s="13"/>
      <c r="D109" s="13"/>
      <c r="E109" s="13"/>
      <c r="F109" s="13"/>
      <c r="G109" s="16"/>
      <c r="H109" s="16"/>
      <c r="I109" s="16"/>
      <c r="J109" s="16"/>
      <c r="K109" s="22" t="str">
        <f t="shared" si="6"/>
        <v/>
      </c>
      <c r="L109" s="22" t="str">
        <f>IF(A109="","",SUMIF(Nyílászárók!$C$6:$C$205,A109,Nyílászárók!$I$6:$I$205))</f>
        <v/>
      </c>
      <c r="M109" s="22" t="str">
        <f t="shared" si="7"/>
        <v/>
      </c>
      <c r="N109" s="16"/>
      <c r="O109" s="16"/>
      <c r="P109" s="16"/>
      <c r="Q109" s="13"/>
      <c r="R109" s="13"/>
      <c r="S109" s="13"/>
      <c r="T109" s="13"/>
      <c r="U109" s="13"/>
    </row>
    <row r="110" spans="1:21" ht="20.100000000000001" customHeight="1">
      <c r="A110" s="13"/>
      <c r="B110" s="13"/>
      <c r="C110" s="13"/>
      <c r="D110" s="13"/>
      <c r="E110" s="13"/>
      <c r="F110" s="13"/>
      <c r="G110" s="16"/>
      <c r="H110" s="16"/>
      <c r="I110" s="16"/>
      <c r="J110" s="16"/>
      <c r="K110" s="22" t="str">
        <f t="shared" si="6"/>
        <v/>
      </c>
      <c r="L110" s="22" t="str">
        <f>IF(A110="","",SUMIF(Nyílászárók!$C$6:$C$205,A110,Nyílászárók!$I$6:$I$205))</f>
        <v/>
      </c>
      <c r="M110" s="22" t="str">
        <f t="shared" si="7"/>
        <v/>
      </c>
      <c r="N110" s="16"/>
      <c r="O110" s="16"/>
      <c r="P110" s="16"/>
      <c r="Q110" s="13"/>
      <c r="R110" s="13"/>
      <c r="S110" s="13"/>
      <c r="T110" s="13"/>
      <c r="U110" s="13"/>
    </row>
    <row r="111" spans="1:21" ht="20.100000000000001" customHeight="1">
      <c r="A111" s="13"/>
      <c r="B111" s="13"/>
      <c r="C111" s="13"/>
      <c r="D111" s="13"/>
      <c r="E111" s="13"/>
      <c r="F111" s="13"/>
      <c r="G111" s="16"/>
      <c r="H111" s="16"/>
      <c r="I111" s="16"/>
      <c r="J111" s="16"/>
      <c r="K111" s="22" t="str">
        <f t="shared" si="6"/>
        <v/>
      </c>
      <c r="L111" s="22" t="str">
        <f>IF(A111="","",SUMIF(Nyílászárók!$C$6:$C$205,A111,Nyílászárók!$I$6:$I$205))</f>
        <v/>
      </c>
      <c r="M111" s="22" t="str">
        <f t="shared" si="7"/>
        <v/>
      </c>
      <c r="N111" s="16"/>
      <c r="O111" s="16"/>
      <c r="P111" s="16"/>
      <c r="Q111" s="13"/>
      <c r="R111" s="13"/>
      <c r="S111" s="13"/>
      <c r="T111" s="13"/>
      <c r="U111" s="13"/>
    </row>
    <row r="112" spans="1:21" ht="20.100000000000001" customHeight="1">
      <c r="A112" s="13"/>
      <c r="B112" s="13"/>
      <c r="C112" s="13"/>
      <c r="D112" s="13"/>
      <c r="E112" s="13"/>
      <c r="F112" s="13"/>
      <c r="G112" s="16"/>
      <c r="H112" s="16"/>
      <c r="I112" s="16"/>
      <c r="J112" s="16"/>
      <c r="K112" s="22" t="str">
        <f t="shared" si="6"/>
        <v/>
      </c>
      <c r="L112" s="22" t="str">
        <f>IF(A112="","",SUMIF(Nyílászárók!$C$6:$C$205,A112,Nyílászárók!$I$6:$I$205))</f>
        <v/>
      </c>
      <c r="M112" s="22" t="str">
        <f t="shared" si="7"/>
        <v/>
      </c>
      <c r="N112" s="16"/>
      <c r="O112" s="16"/>
      <c r="P112" s="16"/>
      <c r="Q112" s="13"/>
      <c r="R112" s="13"/>
      <c r="S112" s="13"/>
      <c r="T112" s="13"/>
      <c r="U112" s="13"/>
    </row>
    <row r="113" spans="1:21" ht="20.100000000000001" customHeight="1">
      <c r="A113" s="13"/>
      <c r="B113" s="13"/>
      <c r="C113" s="13"/>
      <c r="D113" s="13"/>
      <c r="E113" s="13"/>
      <c r="F113" s="13"/>
      <c r="G113" s="16"/>
      <c r="H113" s="16"/>
      <c r="I113" s="16"/>
      <c r="J113" s="16"/>
      <c r="K113" s="22" t="str">
        <f t="shared" si="6"/>
        <v/>
      </c>
      <c r="L113" s="22" t="str">
        <f>IF(A113="","",SUMIF(Nyílászárók!$C$6:$C$205,A113,Nyílászárók!$I$6:$I$205))</f>
        <v/>
      </c>
      <c r="M113" s="22" t="str">
        <f t="shared" si="7"/>
        <v/>
      </c>
      <c r="N113" s="16"/>
      <c r="O113" s="16"/>
      <c r="P113" s="16"/>
      <c r="Q113" s="13"/>
      <c r="R113" s="13"/>
      <c r="S113" s="13"/>
      <c r="T113" s="13"/>
      <c r="U113" s="13"/>
    </row>
    <row r="114" spans="1:21" ht="20.100000000000001" customHeight="1">
      <c r="A114" s="13"/>
      <c r="B114" s="13"/>
      <c r="C114" s="13"/>
      <c r="D114" s="13"/>
      <c r="E114" s="13"/>
      <c r="F114" s="13"/>
      <c r="G114" s="16"/>
      <c r="H114" s="16"/>
      <c r="I114" s="16"/>
      <c r="J114" s="16"/>
      <c r="K114" s="22" t="str">
        <f t="shared" si="6"/>
        <v/>
      </c>
      <c r="L114" s="22" t="str">
        <f>IF(A114="","",SUMIF(Nyílászárók!$C$6:$C$205,A114,Nyílászárók!$I$6:$I$205))</f>
        <v/>
      </c>
      <c r="M114" s="22" t="str">
        <f t="shared" si="7"/>
        <v/>
      </c>
      <c r="N114" s="16"/>
      <c r="O114" s="16"/>
      <c r="P114" s="16"/>
      <c r="Q114" s="13"/>
      <c r="R114" s="13"/>
      <c r="S114" s="13"/>
      <c r="T114" s="13"/>
      <c r="U114" s="13"/>
    </row>
    <row r="115" spans="1:21" ht="20.100000000000001" customHeight="1">
      <c r="A115" s="13"/>
      <c r="B115" s="13"/>
      <c r="C115" s="13"/>
      <c r="D115" s="13"/>
      <c r="E115" s="13"/>
      <c r="F115" s="13"/>
      <c r="G115" s="16"/>
      <c r="H115" s="16"/>
      <c r="I115" s="16"/>
      <c r="J115" s="16"/>
      <c r="K115" s="22" t="str">
        <f t="shared" si="6"/>
        <v/>
      </c>
      <c r="L115" s="22" t="str">
        <f>IF(A115="","",SUMIF(Nyílászárók!$C$6:$C$205,A115,Nyílászárók!$I$6:$I$205))</f>
        <v/>
      </c>
      <c r="M115" s="22" t="str">
        <f t="shared" si="7"/>
        <v/>
      </c>
      <c r="N115" s="16"/>
      <c r="O115" s="16"/>
      <c r="P115" s="16"/>
      <c r="Q115" s="13"/>
      <c r="R115" s="13"/>
      <c r="S115" s="13"/>
      <c r="T115" s="13"/>
      <c r="U115" s="13"/>
    </row>
    <row r="116" spans="1:21" ht="20.100000000000001" customHeight="1">
      <c r="A116" s="13"/>
      <c r="B116" s="13"/>
      <c r="C116" s="13"/>
      <c r="D116" s="13"/>
      <c r="E116" s="13"/>
      <c r="F116" s="13"/>
      <c r="G116" s="16"/>
      <c r="H116" s="16"/>
      <c r="I116" s="16"/>
      <c r="J116" s="16"/>
      <c r="K116" s="22" t="str">
        <f t="shared" si="6"/>
        <v/>
      </c>
      <c r="L116" s="22" t="str">
        <f>IF(A116="","",SUMIF(Nyílászárók!$C$6:$C$205,A116,Nyílászárók!$I$6:$I$205))</f>
        <v/>
      </c>
      <c r="M116" s="22" t="str">
        <f t="shared" si="7"/>
        <v/>
      </c>
      <c r="N116" s="16"/>
      <c r="O116" s="16"/>
      <c r="P116" s="16"/>
      <c r="Q116" s="13"/>
      <c r="R116" s="13"/>
      <c r="S116" s="13"/>
      <c r="T116" s="13"/>
      <c r="U116" s="13"/>
    </row>
    <row r="117" spans="1:21" ht="20.100000000000001" customHeight="1">
      <c r="A117" s="13"/>
      <c r="B117" s="13"/>
      <c r="C117" s="13"/>
      <c r="D117" s="13"/>
      <c r="E117" s="13"/>
      <c r="F117" s="13"/>
      <c r="G117" s="16"/>
      <c r="H117" s="16"/>
      <c r="I117" s="16"/>
      <c r="J117" s="16"/>
      <c r="K117" s="22" t="str">
        <f t="shared" si="6"/>
        <v/>
      </c>
      <c r="L117" s="22" t="str">
        <f>IF(A117="","",SUMIF(Nyílászárók!$C$6:$C$205,A117,Nyílászárók!$I$6:$I$205))</f>
        <v/>
      </c>
      <c r="M117" s="22" t="str">
        <f t="shared" si="7"/>
        <v/>
      </c>
      <c r="N117" s="16"/>
      <c r="O117" s="16"/>
      <c r="P117" s="16"/>
      <c r="Q117" s="13"/>
      <c r="R117" s="13"/>
      <c r="S117" s="13"/>
      <c r="T117" s="13"/>
      <c r="U117" s="13"/>
    </row>
    <row r="118" spans="1:21" ht="20.100000000000001" customHeight="1">
      <c r="A118" s="13"/>
      <c r="B118" s="13"/>
      <c r="C118" s="13"/>
      <c r="D118" s="13"/>
      <c r="E118" s="13"/>
      <c r="F118" s="13"/>
      <c r="G118" s="16"/>
      <c r="H118" s="16"/>
      <c r="I118" s="16"/>
      <c r="J118" s="16"/>
      <c r="K118" s="22" t="str">
        <f t="shared" si="6"/>
        <v/>
      </c>
      <c r="L118" s="22" t="str">
        <f>IF(A118="","",SUMIF(Nyílászárók!$C$6:$C$205,A118,Nyílászárók!$I$6:$I$205))</f>
        <v/>
      </c>
      <c r="M118" s="22" t="str">
        <f t="shared" si="7"/>
        <v/>
      </c>
      <c r="N118" s="16"/>
      <c r="O118" s="16"/>
      <c r="P118" s="16"/>
      <c r="Q118" s="13"/>
      <c r="R118" s="13"/>
      <c r="S118" s="13"/>
      <c r="T118" s="13"/>
      <c r="U118" s="13"/>
    </row>
    <row r="119" spans="1:21" ht="20.100000000000001" customHeight="1">
      <c r="A119" s="13"/>
      <c r="B119" s="13"/>
      <c r="C119" s="13"/>
      <c r="D119" s="13"/>
      <c r="E119" s="13"/>
      <c r="F119" s="13"/>
      <c r="G119" s="16"/>
      <c r="H119" s="16"/>
      <c r="I119" s="16"/>
      <c r="J119" s="16"/>
      <c r="K119" s="22" t="str">
        <f t="shared" si="6"/>
        <v/>
      </c>
      <c r="L119" s="22" t="str">
        <f>IF(A119="","",SUMIF(Nyílászárók!$C$6:$C$205,A119,Nyílászárók!$I$6:$I$205))</f>
        <v/>
      </c>
      <c r="M119" s="22" t="str">
        <f t="shared" si="7"/>
        <v/>
      </c>
      <c r="N119" s="16"/>
      <c r="O119" s="16"/>
      <c r="P119" s="16"/>
      <c r="Q119" s="13"/>
      <c r="R119" s="13"/>
      <c r="S119" s="13"/>
      <c r="T119" s="13"/>
      <c r="U119" s="13"/>
    </row>
    <row r="120" spans="1:21" ht="20.100000000000001" customHeight="1">
      <c r="A120" s="13"/>
      <c r="B120" s="13"/>
      <c r="C120" s="13"/>
      <c r="D120" s="13"/>
      <c r="E120" s="13"/>
      <c r="F120" s="13"/>
      <c r="G120" s="16"/>
      <c r="H120" s="16"/>
      <c r="I120" s="16"/>
      <c r="J120" s="16"/>
      <c r="K120" s="22" t="str">
        <f t="shared" si="6"/>
        <v/>
      </c>
      <c r="L120" s="22" t="str">
        <f>IF(A120="","",SUMIF(Nyílászárók!$C$6:$C$205,A120,Nyílászárók!$I$6:$I$205))</f>
        <v/>
      </c>
      <c r="M120" s="22" t="str">
        <f t="shared" si="7"/>
        <v/>
      </c>
      <c r="N120" s="16"/>
      <c r="O120" s="16"/>
      <c r="P120" s="16"/>
      <c r="Q120" s="13"/>
      <c r="R120" s="13"/>
      <c r="S120" s="13"/>
      <c r="T120" s="13"/>
      <c r="U120" s="13"/>
    </row>
    <row r="121" spans="1:21" ht="20.100000000000001" customHeight="1">
      <c r="A121" s="13"/>
      <c r="B121" s="13"/>
      <c r="C121" s="13"/>
      <c r="D121" s="13"/>
      <c r="E121" s="13"/>
      <c r="F121" s="13"/>
      <c r="G121" s="16"/>
      <c r="H121" s="16"/>
      <c r="I121" s="16"/>
      <c r="J121" s="16"/>
      <c r="K121" s="22" t="str">
        <f t="shared" si="6"/>
        <v/>
      </c>
      <c r="L121" s="22" t="str">
        <f>IF(A121="","",SUMIF(Nyílászárók!$C$6:$C$205,A121,Nyílászárók!$I$6:$I$205))</f>
        <v/>
      </c>
      <c r="M121" s="22" t="str">
        <f t="shared" si="7"/>
        <v/>
      </c>
      <c r="N121" s="16"/>
      <c r="O121" s="16"/>
      <c r="P121" s="16"/>
      <c r="Q121" s="13"/>
      <c r="R121" s="13"/>
      <c r="S121" s="13"/>
      <c r="T121" s="13"/>
      <c r="U121" s="13"/>
    </row>
    <row r="122" spans="1:21" ht="20.100000000000001" customHeight="1">
      <c r="A122" s="13"/>
      <c r="B122" s="13"/>
      <c r="C122" s="13"/>
      <c r="D122" s="13"/>
      <c r="E122" s="13"/>
      <c r="F122" s="13"/>
      <c r="G122" s="16"/>
      <c r="H122" s="16"/>
      <c r="I122" s="16"/>
      <c r="J122" s="16"/>
      <c r="K122" s="22" t="str">
        <f t="shared" si="6"/>
        <v/>
      </c>
      <c r="L122" s="22" t="str">
        <f>IF(A122="","",SUMIF(Nyílászárók!$C$6:$C$205,A122,Nyílászárók!$I$6:$I$205))</f>
        <v/>
      </c>
      <c r="M122" s="22" t="str">
        <f t="shared" si="7"/>
        <v/>
      </c>
      <c r="N122" s="16"/>
      <c r="O122" s="16"/>
      <c r="P122" s="16"/>
      <c r="Q122" s="13"/>
      <c r="R122" s="13"/>
      <c r="S122" s="13"/>
      <c r="T122" s="13"/>
      <c r="U122" s="13"/>
    </row>
    <row r="123" spans="1:21" ht="20.100000000000001" customHeight="1">
      <c r="A123" s="13"/>
      <c r="B123" s="13"/>
      <c r="C123" s="13"/>
      <c r="D123" s="13"/>
      <c r="E123" s="13"/>
      <c r="F123" s="13"/>
      <c r="G123" s="16"/>
      <c r="H123" s="16"/>
      <c r="I123" s="16"/>
      <c r="J123" s="16"/>
      <c r="K123" s="22" t="str">
        <f t="shared" si="6"/>
        <v/>
      </c>
      <c r="L123" s="22" t="str">
        <f>IF(A123="","",SUMIF(Nyílászárók!$C$6:$C$205,A123,Nyílászárók!$I$6:$I$205))</f>
        <v/>
      </c>
      <c r="M123" s="22" t="str">
        <f t="shared" si="7"/>
        <v/>
      </c>
      <c r="N123" s="16"/>
      <c r="O123" s="16"/>
      <c r="P123" s="16"/>
      <c r="Q123" s="13"/>
      <c r="R123" s="13"/>
      <c r="S123" s="13"/>
      <c r="T123" s="13"/>
      <c r="U123" s="13"/>
    </row>
    <row r="124" spans="1:21" ht="20.100000000000001" customHeight="1">
      <c r="A124" s="13"/>
      <c r="B124" s="13"/>
      <c r="C124" s="13"/>
      <c r="D124" s="13"/>
      <c r="E124" s="13"/>
      <c r="F124" s="13"/>
      <c r="G124" s="16"/>
      <c r="H124" s="16"/>
      <c r="I124" s="16"/>
      <c r="J124" s="16"/>
      <c r="K124" s="22" t="str">
        <f t="shared" si="6"/>
        <v/>
      </c>
      <c r="L124" s="22" t="str">
        <f>IF(A124="","",SUMIF(Nyílászárók!$C$6:$C$205,A124,Nyílászárók!$I$6:$I$205))</f>
        <v/>
      </c>
      <c r="M124" s="22" t="str">
        <f t="shared" si="7"/>
        <v/>
      </c>
      <c r="N124" s="16"/>
      <c r="O124" s="16"/>
      <c r="P124" s="16"/>
      <c r="Q124" s="13"/>
      <c r="R124" s="13"/>
      <c r="S124" s="13"/>
      <c r="T124" s="13"/>
      <c r="U124" s="13"/>
    </row>
    <row r="125" spans="1:21" ht="20.100000000000001" customHeight="1">
      <c r="A125" s="13"/>
      <c r="B125" s="13"/>
      <c r="C125" s="13"/>
      <c r="D125" s="13"/>
      <c r="E125" s="13"/>
      <c r="F125" s="13"/>
      <c r="G125" s="16"/>
      <c r="H125" s="16"/>
      <c r="I125" s="16"/>
      <c r="J125" s="16"/>
      <c r="K125" s="22" t="str">
        <f t="shared" si="6"/>
        <v/>
      </c>
      <c r="L125" s="22" t="str">
        <f>IF(A125="","",SUMIF(Nyílászárók!$C$6:$C$205,A125,Nyílászárók!$I$6:$I$205))</f>
        <v/>
      </c>
      <c r="M125" s="22" t="str">
        <f t="shared" si="7"/>
        <v/>
      </c>
      <c r="N125" s="16"/>
      <c r="O125" s="16"/>
      <c r="P125" s="16"/>
      <c r="Q125" s="13"/>
      <c r="R125" s="13"/>
      <c r="S125" s="13"/>
      <c r="T125" s="13"/>
      <c r="U125" s="13"/>
    </row>
    <row r="126" spans="1:21" ht="20.100000000000001" customHeight="1">
      <c r="A126" s="13"/>
      <c r="B126" s="13"/>
      <c r="C126" s="13"/>
      <c r="D126" s="13"/>
      <c r="E126" s="13"/>
      <c r="F126" s="13"/>
      <c r="G126" s="16"/>
      <c r="H126" s="16"/>
      <c r="I126" s="16"/>
      <c r="J126" s="16"/>
      <c r="K126" s="22" t="str">
        <f t="shared" si="6"/>
        <v/>
      </c>
      <c r="L126" s="22" t="str">
        <f>IF(A126="","",SUMIF(Nyílászárók!$C$6:$C$205,A126,Nyílászárók!$I$6:$I$205))</f>
        <v/>
      </c>
      <c r="M126" s="22" t="str">
        <f t="shared" si="7"/>
        <v/>
      </c>
      <c r="N126" s="16"/>
      <c r="O126" s="16"/>
      <c r="P126" s="16"/>
      <c r="Q126" s="13"/>
      <c r="R126" s="13"/>
      <c r="S126" s="13"/>
      <c r="T126" s="13"/>
      <c r="U126" s="13"/>
    </row>
    <row r="127" spans="1:21" ht="20.100000000000001" customHeight="1">
      <c r="A127" s="13"/>
      <c r="B127" s="13"/>
      <c r="C127" s="13"/>
      <c r="D127" s="13"/>
      <c r="E127" s="13"/>
      <c r="F127" s="13"/>
      <c r="G127" s="16"/>
      <c r="H127" s="16"/>
      <c r="I127" s="16"/>
      <c r="J127" s="16"/>
      <c r="K127" s="22" t="str">
        <f t="shared" si="6"/>
        <v/>
      </c>
      <c r="L127" s="22" t="str">
        <f>IF(A127="","",SUMIF(Nyílászárók!$C$6:$C$205,A127,Nyílászárók!$I$6:$I$205))</f>
        <v/>
      </c>
      <c r="M127" s="22" t="str">
        <f t="shared" si="7"/>
        <v/>
      </c>
      <c r="N127" s="16"/>
      <c r="O127" s="16"/>
      <c r="P127" s="16"/>
      <c r="Q127" s="13"/>
      <c r="R127" s="13"/>
      <c r="S127" s="13"/>
      <c r="T127" s="13"/>
      <c r="U127" s="13"/>
    </row>
    <row r="128" spans="1:21" ht="20.100000000000001" customHeight="1">
      <c r="A128" s="13"/>
      <c r="B128" s="13"/>
      <c r="C128" s="13"/>
      <c r="D128" s="13"/>
      <c r="E128" s="13"/>
      <c r="F128" s="13"/>
      <c r="G128" s="16"/>
      <c r="H128" s="16"/>
      <c r="I128" s="16"/>
      <c r="J128" s="16"/>
      <c r="K128" s="22" t="str">
        <f t="shared" si="6"/>
        <v/>
      </c>
      <c r="L128" s="22" t="str">
        <f>IF(A128="","",SUMIF(Nyílászárók!$C$6:$C$205,A128,Nyílászárók!$I$6:$I$205))</f>
        <v/>
      </c>
      <c r="M128" s="22" t="str">
        <f t="shared" si="7"/>
        <v/>
      </c>
      <c r="N128" s="16"/>
      <c r="O128" s="16"/>
      <c r="P128" s="16"/>
      <c r="Q128" s="13"/>
      <c r="R128" s="13"/>
      <c r="S128" s="13"/>
      <c r="T128" s="13"/>
      <c r="U128" s="13"/>
    </row>
    <row r="129" spans="1:21" ht="20.100000000000001" customHeight="1">
      <c r="A129" s="13"/>
      <c r="B129" s="13"/>
      <c r="C129" s="13"/>
      <c r="D129" s="13"/>
      <c r="E129" s="13"/>
      <c r="F129" s="13"/>
      <c r="G129" s="16"/>
      <c r="H129" s="16"/>
      <c r="I129" s="16"/>
      <c r="J129" s="16"/>
      <c r="K129" s="22" t="str">
        <f t="shared" si="6"/>
        <v/>
      </c>
      <c r="L129" s="22" t="str">
        <f>IF(A129="","",SUMIF(Nyílászárók!$C$6:$C$205,A129,Nyílászárók!$I$6:$I$205))</f>
        <v/>
      </c>
      <c r="M129" s="22" t="str">
        <f t="shared" si="7"/>
        <v/>
      </c>
      <c r="N129" s="16"/>
      <c r="O129" s="16"/>
      <c r="P129" s="16"/>
      <c r="Q129" s="13"/>
      <c r="R129" s="13"/>
      <c r="S129" s="13"/>
      <c r="T129" s="13"/>
      <c r="U129" s="13"/>
    </row>
    <row r="130" spans="1:21" ht="20.100000000000001" customHeight="1">
      <c r="A130" s="13"/>
      <c r="B130" s="13"/>
      <c r="C130" s="13"/>
      <c r="D130" s="13"/>
      <c r="E130" s="13"/>
      <c r="F130" s="13"/>
      <c r="G130" s="16"/>
      <c r="H130" s="16"/>
      <c r="I130" s="16"/>
      <c r="J130" s="16"/>
      <c r="K130" s="22" t="str">
        <f t="shared" si="6"/>
        <v/>
      </c>
      <c r="L130" s="22" t="str">
        <f>IF(A130="","",SUMIF(Nyílászárók!$C$6:$C$205,A130,Nyílászárók!$I$6:$I$205))</f>
        <v/>
      </c>
      <c r="M130" s="22" t="str">
        <f t="shared" si="7"/>
        <v/>
      </c>
      <c r="N130" s="16"/>
      <c r="O130" s="16"/>
      <c r="P130" s="16"/>
      <c r="Q130" s="13"/>
      <c r="R130" s="13"/>
      <c r="S130" s="13"/>
      <c r="T130" s="13"/>
      <c r="U130" s="13"/>
    </row>
    <row r="131" spans="1:21" ht="20.100000000000001" customHeight="1">
      <c r="A131" s="13"/>
      <c r="B131" s="13"/>
      <c r="C131" s="13"/>
      <c r="D131" s="13"/>
      <c r="E131" s="13"/>
      <c r="F131" s="13"/>
      <c r="G131" s="16"/>
      <c r="H131" s="16"/>
      <c r="I131" s="16"/>
      <c r="J131" s="16"/>
      <c r="K131" s="22" t="str">
        <f t="shared" si="6"/>
        <v/>
      </c>
      <c r="L131" s="22" t="str">
        <f>IF(A131="","",SUMIF(Nyílászárók!$C$6:$C$205,A131,Nyílászárók!$I$6:$I$205))</f>
        <v/>
      </c>
      <c r="M131" s="22" t="str">
        <f t="shared" si="7"/>
        <v/>
      </c>
      <c r="N131" s="16"/>
      <c r="O131" s="16"/>
      <c r="P131" s="16"/>
      <c r="Q131" s="13"/>
      <c r="R131" s="13"/>
      <c r="S131" s="13"/>
      <c r="T131" s="13"/>
      <c r="U131" s="13"/>
    </row>
    <row r="132" spans="1:21" ht="20.100000000000001" customHeight="1">
      <c r="A132" s="13"/>
      <c r="B132" s="13"/>
      <c r="C132" s="13"/>
      <c r="D132" s="13"/>
      <c r="E132" s="13"/>
      <c r="F132" s="13"/>
      <c r="G132" s="16"/>
      <c r="H132" s="16"/>
      <c r="I132" s="16"/>
      <c r="J132" s="16"/>
      <c r="K132" s="22" t="str">
        <f t="shared" si="6"/>
        <v/>
      </c>
      <c r="L132" s="22" t="str">
        <f>IF(A132="","",SUMIF(Nyílászárók!$C$6:$C$205,A132,Nyílászárók!$I$6:$I$205))</f>
        <v/>
      </c>
      <c r="M132" s="22" t="str">
        <f t="shared" si="7"/>
        <v/>
      </c>
      <c r="N132" s="16"/>
      <c r="O132" s="16"/>
      <c r="P132" s="16"/>
      <c r="Q132" s="13"/>
      <c r="R132" s="13"/>
      <c r="S132" s="13"/>
      <c r="T132" s="13"/>
      <c r="U132" s="13"/>
    </row>
    <row r="133" spans="1:21" ht="20.100000000000001" customHeight="1">
      <c r="A133" s="13"/>
      <c r="B133" s="13"/>
      <c r="C133" s="13"/>
      <c r="D133" s="13"/>
      <c r="E133" s="13"/>
      <c r="F133" s="13"/>
      <c r="G133" s="16"/>
      <c r="H133" s="16"/>
      <c r="I133" s="16"/>
      <c r="J133" s="16"/>
      <c r="K133" s="22" t="str">
        <f t="shared" si="6"/>
        <v/>
      </c>
      <c r="L133" s="22" t="str">
        <f>IF(A133="","",SUMIF(Nyílászárók!$C$6:$C$205,A133,Nyílászárók!$I$6:$I$205))</f>
        <v/>
      </c>
      <c r="M133" s="22" t="str">
        <f t="shared" si="7"/>
        <v/>
      </c>
      <c r="N133" s="16"/>
      <c r="O133" s="16"/>
      <c r="P133" s="16"/>
      <c r="Q133" s="13"/>
      <c r="R133" s="13"/>
      <c r="S133" s="13"/>
      <c r="T133" s="13"/>
      <c r="U133" s="13"/>
    </row>
    <row r="134" spans="1:21" ht="20.100000000000001" customHeight="1">
      <c r="A134" s="13"/>
      <c r="B134" s="13"/>
      <c r="C134" s="13"/>
      <c r="D134" s="13"/>
      <c r="E134" s="13"/>
      <c r="F134" s="13"/>
      <c r="G134" s="16"/>
      <c r="H134" s="16"/>
      <c r="I134" s="16"/>
      <c r="J134" s="16"/>
      <c r="K134" s="22" t="str">
        <f t="shared" ref="K134:K165" si="8">IF(A134="","",IF(J134&lt;&gt;"",J134,IF(OR(H134="",I134=""),"",H134*I134)))</f>
        <v/>
      </c>
      <c r="L134" s="22" t="str">
        <f>IF(A134="","",SUMIF(Nyílászárók!$C$6:$C$205,A134,Nyílászárók!$I$6:$I$205))</f>
        <v/>
      </c>
      <c r="M134" s="22" t="str">
        <f t="shared" ref="M134:M165" si="9">IF(A134="","",IF(K134="","",K134-L134))</f>
        <v/>
      </c>
      <c r="N134" s="16"/>
      <c r="O134" s="16"/>
      <c r="P134" s="16"/>
      <c r="Q134" s="13"/>
      <c r="R134" s="13"/>
      <c r="S134" s="13"/>
      <c r="T134" s="13"/>
      <c r="U134" s="13"/>
    </row>
    <row r="135" spans="1:21" ht="20.100000000000001" customHeight="1">
      <c r="A135" s="13"/>
      <c r="B135" s="13"/>
      <c r="C135" s="13"/>
      <c r="D135" s="13"/>
      <c r="E135" s="13"/>
      <c r="F135" s="13"/>
      <c r="G135" s="16"/>
      <c r="H135" s="16"/>
      <c r="I135" s="16"/>
      <c r="J135" s="16"/>
      <c r="K135" s="22" t="str">
        <f t="shared" si="8"/>
        <v/>
      </c>
      <c r="L135" s="22" t="str">
        <f>IF(A135="","",SUMIF(Nyílászárók!$C$6:$C$205,A135,Nyílászárók!$I$6:$I$205))</f>
        <v/>
      </c>
      <c r="M135" s="22" t="str">
        <f t="shared" si="9"/>
        <v/>
      </c>
      <c r="N135" s="16"/>
      <c r="O135" s="16"/>
      <c r="P135" s="16"/>
      <c r="Q135" s="13"/>
      <c r="R135" s="13"/>
      <c r="S135" s="13"/>
      <c r="T135" s="13"/>
      <c r="U135" s="13"/>
    </row>
    <row r="136" spans="1:21" ht="20.100000000000001" customHeight="1">
      <c r="A136" s="13"/>
      <c r="B136" s="13"/>
      <c r="C136" s="13"/>
      <c r="D136" s="13"/>
      <c r="E136" s="13"/>
      <c r="F136" s="13"/>
      <c r="G136" s="16"/>
      <c r="H136" s="16"/>
      <c r="I136" s="16"/>
      <c r="J136" s="16"/>
      <c r="K136" s="22" t="str">
        <f t="shared" si="8"/>
        <v/>
      </c>
      <c r="L136" s="22" t="str">
        <f>IF(A136="","",SUMIF(Nyílászárók!$C$6:$C$205,A136,Nyílászárók!$I$6:$I$205))</f>
        <v/>
      </c>
      <c r="M136" s="22" t="str">
        <f t="shared" si="9"/>
        <v/>
      </c>
      <c r="N136" s="16"/>
      <c r="O136" s="16"/>
      <c r="P136" s="16"/>
      <c r="Q136" s="13"/>
      <c r="R136" s="13"/>
      <c r="S136" s="13"/>
      <c r="T136" s="13"/>
      <c r="U136" s="13"/>
    </row>
    <row r="137" spans="1:21" ht="20.100000000000001" customHeight="1">
      <c r="A137" s="13"/>
      <c r="B137" s="13"/>
      <c r="C137" s="13"/>
      <c r="D137" s="13"/>
      <c r="E137" s="13"/>
      <c r="F137" s="13"/>
      <c r="G137" s="16"/>
      <c r="H137" s="16"/>
      <c r="I137" s="16"/>
      <c r="J137" s="16"/>
      <c r="K137" s="22" t="str">
        <f t="shared" si="8"/>
        <v/>
      </c>
      <c r="L137" s="22" t="str">
        <f>IF(A137="","",SUMIF(Nyílászárók!$C$6:$C$205,A137,Nyílászárók!$I$6:$I$205))</f>
        <v/>
      </c>
      <c r="M137" s="22" t="str">
        <f t="shared" si="9"/>
        <v/>
      </c>
      <c r="N137" s="16"/>
      <c r="O137" s="16"/>
      <c r="P137" s="16"/>
      <c r="Q137" s="13"/>
      <c r="R137" s="13"/>
      <c r="S137" s="13"/>
      <c r="T137" s="13"/>
      <c r="U137" s="13"/>
    </row>
    <row r="138" spans="1:21" ht="20.100000000000001" customHeight="1">
      <c r="A138" s="13"/>
      <c r="B138" s="13"/>
      <c r="C138" s="13"/>
      <c r="D138" s="13"/>
      <c r="E138" s="13"/>
      <c r="F138" s="13"/>
      <c r="G138" s="16"/>
      <c r="H138" s="16"/>
      <c r="I138" s="16"/>
      <c r="J138" s="16"/>
      <c r="K138" s="22" t="str">
        <f t="shared" si="8"/>
        <v/>
      </c>
      <c r="L138" s="22" t="str">
        <f>IF(A138="","",SUMIF(Nyílászárók!$C$6:$C$205,A138,Nyílászárók!$I$6:$I$205))</f>
        <v/>
      </c>
      <c r="M138" s="22" t="str">
        <f t="shared" si="9"/>
        <v/>
      </c>
      <c r="N138" s="16"/>
      <c r="O138" s="16"/>
      <c r="P138" s="16"/>
      <c r="Q138" s="13"/>
      <c r="R138" s="13"/>
      <c r="S138" s="13"/>
      <c r="T138" s="13"/>
      <c r="U138" s="13"/>
    </row>
    <row r="139" spans="1:21" ht="20.100000000000001" customHeight="1">
      <c r="A139" s="13"/>
      <c r="B139" s="13"/>
      <c r="C139" s="13"/>
      <c r="D139" s="13"/>
      <c r="E139" s="13"/>
      <c r="F139" s="13"/>
      <c r="G139" s="16"/>
      <c r="H139" s="16"/>
      <c r="I139" s="16"/>
      <c r="J139" s="16"/>
      <c r="K139" s="22" t="str">
        <f t="shared" si="8"/>
        <v/>
      </c>
      <c r="L139" s="22" t="str">
        <f>IF(A139="","",SUMIF(Nyílászárók!$C$6:$C$205,A139,Nyílászárók!$I$6:$I$205))</f>
        <v/>
      </c>
      <c r="M139" s="22" t="str">
        <f t="shared" si="9"/>
        <v/>
      </c>
      <c r="N139" s="16"/>
      <c r="O139" s="16"/>
      <c r="P139" s="16"/>
      <c r="Q139" s="13"/>
      <c r="R139" s="13"/>
      <c r="S139" s="13"/>
      <c r="T139" s="13"/>
      <c r="U139" s="13"/>
    </row>
    <row r="140" spans="1:21" ht="20.100000000000001" customHeight="1">
      <c r="A140" s="13"/>
      <c r="B140" s="13"/>
      <c r="C140" s="13"/>
      <c r="D140" s="13"/>
      <c r="E140" s="13"/>
      <c r="F140" s="13"/>
      <c r="G140" s="16"/>
      <c r="H140" s="16"/>
      <c r="I140" s="16"/>
      <c r="J140" s="16"/>
      <c r="K140" s="22" t="str">
        <f t="shared" si="8"/>
        <v/>
      </c>
      <c r="L140" s="22" t="str">
        <f>IF(A140="","",SUMIF(Nyílászárók!$C$6:$C$205,A140,Nyílászárók!$I$6:$I$205))</f>
        <v/>
      </c>
      <c r="M140" s="22" t="str">
        <f t="shared" si="9"/>
        <v/>
      </c>
      <c r="N140" s="16"/>
      <c r="O140" s="16"/>
      <c r="P140" s="16"/>
      <c r="Q140" s="13"/>
      <c r="R140" s="13"/>
      <c r="S140" s="13"/>
      <c r="T140" s="13"/>
      <c r="U140" s="13"/>
    </row>
    <row r="141" spans="1:21" ht="20.100000000000001" customHeight="1">
      <c r="A141" s="13"/>
      <c r="B141" s="13"/>
      <c r="C141" s="13"/>
      <c r="D141" s="13"/>
      <c r="E141" s="13"/>
      <c r="F141" s="13"/>
      <c r="G141" s="16"/>
      <c r="H141" s="16"/>
      <c r="I141" s="16"/>
      <c r="J141" s="16"/>
      <c r="K141" s="22" t="str">
        <f t="shared" si="8"/>
        <v/>
      </c>
      <c r="L141" s="22" t="str">
        <f>IF(A141="","",SUMIF(Nyílászárók!$C$6:$C$205,A141,Nyílászárók!$I$6:$I$205))</f>
        <v/>
      </c>
      <c r="M141" s="22" t="str">
        <f t="shared" si="9"/>
        <v/>
      </c>
      <c r="N141" s="16"/>
      <c r="O141" s="16"/>
      <c r="P141" s="16"/>
      <c r="Q141" s="13"/>
      <c r="R141" s="13"/>
      <c r="S141" s="13"/>
      <c r="T141" s="13"/>
      <c r="U141" s="13"/>
    </row>
    <row r="142" spans="1:21" ht="20.100000000000001" customHeight="1">
      <c r="A142" s="13"/>
      <c r="B142" s="13"/>
      <c r="C142" s="13"/>
      <c r="D142" s="13"/>
      <c r="E142" s="13"/>
      <c r="F142" s="13"/>
      <c r="G142" s="16"/>
      <c r="H142" s="16"/>
      <c r="I142" s="16"/>
      <c r="J142" s="16"/>
      <c r="K142" s="22" t="str">
        <f t="shared" si="8"/>
        <v/>
      </c>
      <c r="L142" s="22" t="str">
        <f>IF(A142="","",SUMIF(Nyílászárók!$C$6:$C$205,A142,Nyílászárók!$I$6:$I$205))</f>
        <v/>
      </c>
      <c r="M142" s="22" t="str">
        <f t="shared" si="9"/>
        <v/>
      </c>
      <c r="N142" s="16"/>
      <c r="O142" s="16"/>
      <c r="P142" s="16"/>
      <c r="Q142" s="13"/>
      <c r="R142" s="13"/>
      <c r="S142" s="13"/>
      <c r="T142" s="13"/>
      <c r="U142" s="13"/>
    </row>
    <row r="143" spans="1:21" ht="20.100000000000001" customHeight="1">
      <c r="A143" s="13"/>
      <c r="B143" s="13"/>
      <c r="C143" s="13"/>
      <c r="D143" s="13"/>
      <c r="E143" s="13"/>
      <c r="F143" s="13"/>
      <c r="G143" s="16"/>
      <c r="H143" s="16"/>
      <c r="I143" s="16"/>
      <c r="J143" s="16"/>
      <c r="K143" s="22" t="str">
        <f t="shared" si="8"/>
        <v/>
      </c>
      <c r="L143" s="22" t="str">
        <f>IF(A143="","",SUMIF(Nyílászárók!$C$6:$C$205,A143,Nyílászárók!$I$6:$I$205))</f>
        <v/>
      </c>
      <c r="M143" s="22" t="str">
        <f t="shared" si="9"/>
        <v/>
      </c>
      <c r="N143" s="16"/>
      <c r="O143" s="16"/>
      <c r="P143" s="16"/>
      <c r="Q143" s="13"/>
      <c r="R143" s="13"/>
      <c r="S143" s="13"/>
      <c r="T143" s="13"/>
      <c r="U143" s="13"/>
    </row>
    <row r="144" spans="1:21" ht="20.100000000000001" customHeight="1">
      <c r="A144" s="13"/>
      <c r="B144" s="13"/>
      <c r="C144" s="13"/>
      <c r="D144" s="13"/>
      <c r="E144" s="13"/>
      <c r="F144" s="13"/>
      <c r="G144" s="16"/>
      <c r="H144" s="16"/>
      <c r="I144" s="16"/>
      <c r="J144" s="16"/>
      <c r="K144" s="22" t="str">
        <f t="shared" si="8"/>
        <v/>
      </c>
      <c r="L144" s="22" t="str">
        <f>IF(A144="","",SUMIF(Nyílászárók!$C$6:$C$205,A144,Nyílászárók!$I$6:$I$205))</f>
        <v/>
      </c>
      <c r="M144" s="22" t="str">
        <f t="shared" si="9"/>
        <v/>
      </c>
      <c r="N144" s="16"/>
      <c r="O144" s="16"/>
      <c r="P144" s="16"/>
      <c r="Q144" s="13"/>
      <c r="R144" s="13"/>
      <c r="S144" s="13"/>
      <c r="T144" s="13"/>
      <c r="U144" s="13"/>
    </row>
    <row r="145" spans="1:21" ht="20.100000000000001" customHeight="1">
      <c r="A145" s="13"/>
      <c r="B145" s="13"/>
      <c r="C145" s="13"/>
      <c r="D145" s="13"/>
      <c r="E145" s="13"/>
      <c r="F145" s="13"/>
      <c r="G145" s="16"/>
      <c r="H145" s="16"/>
      <c r="I145" s="16"/>
      <c r="J145" s="16"/>
      <c r="K145" s="22" t="str">
        <f t="shared" si="8"/>
        <v/>
      </c>
      <c r="L145" s="22" t="str">
        <f>IF(A145="","",SUMIF(Nyílászárók!$C$6:$C$205,A145,Nyílászárók!$I$6:$I$205))</f>
        <v/>
      </c>
      <c r="M145" s="22" t="str">
        <f t="shared" si="9"/>
        <v/>
      </c>
      <c r="N145" s="16"/>
      <c r="O145" s="16"/>
      <c r="P145" s="16"/>
      <c r="Q145" s="13"/>
      <c r="R145" s="13"/>
      <c r="S145" s="13"/>
      <c r="T145" s="13"/>
      <c r="U145" s="13"/>
    </row>
    <row r="146" spans="1:21" ht="20.100000000000001" customHeight="1">
      <c r="A146" s="13"/>
      <c r="B146" s="13"/>
      <c r="C146" s="13"/>
      <c r="D146" s="13"/>
      <c r="E146" s="13"/>
      <c r="F146" s="13"/>
      <c r="G146" s="16"/>
      <c r="H146" s="16"/>
      <c r="I146" s="16"/>
      <c r="J146" s="16"/>
      <c r="K146" s="22" t="str">
        <f t="shared" si="8"/>
        <v/>
      </c>
      <c r="L146" s="22" t="str">
        <f>IF(A146="","",SUMIF(Nyílászárók!$C$6:$C$205,A146,Nyílászárók!$I$6:$I$205))</f>
        <v/>
      </c>
      <c r="M146" s="22" t="str">
        <f t="shared" si="9"/>
        <v/>
      </c>
      <c r="N146" s="16"/>
      <c r="O146" s="16"/>
      <c r="P146" s="16"/>
      <c r="Q146" s="13"/>
      <c r="R146" s="13"/>
      <c r="S146" s="13"/>
      <c r="T146" s="13"/>
      <c r="U146" s="13"/>
    </row>
    <row r="147" spans="1:21" ht="20.100000000000001" customHeight="1">
      <c r="A147" s="13"/>
      <c r="B147" s="13"/>
      <c r="C147" s="13"/>
      <c r="D147" s="13"/>
      <c r="E147" s="13"/>
      <c r="F147" s="13"/>
      <c r="G147" s="16"/>
      <c r="H147" s="16"/>
      <c r="I147" s="16"/>
      <c r="J147" s="16"/>
      <c r="K147" s="22" t="str">
        <f t="shared" si="8"/>
        <v/>
      </c>
      <c r="L147" s="22" t="str">
        <f>IF(A147="","",SUMIF(Nyílászárók!$C$6:$C$205,A147,Nyílászárók!$I$6:$I$205))</f>
        <v/>
      </c>
      <c r="M147" s="22" t="str">
        <f t="shared" si="9"/>
        <v/>
      </c>
      <c r="N147" s="16"/>
      <c r="O147" s="16"/>
      <c r="P147" s="16"/>
      <c r="Q147" s="13"/>
      <c r="R147" s="13"/>
      <c r="S147" s="13"/>
      <c r="T147" s="13"/>
      <c r="U147" s="13"/>
    </row>
    <row r="148" spans="1:21" ht="20.100000000000001" customHeight="1">
      <c r="A148" s="13"/>
      <c r="B148" s="13"/>
      <c r="C148" s="13"/>
      <c r="D148" s="13"/>
      <c r="E148" s="13"/>
      <c r="F148" s="13"/>
      <c r="G148" s="16"/>
      <c r="H148" s="16"/>
      <c r="I148" s="16"/>
      <c r="J148" s="16"/>
      <c r="K148" s="22" t="str">
        <f t="shared" si="8"/>
        <v/>
      </c>
      <c r="L148" s="22" t="str">
        <f>IF(A148="","",SUMIF(Nyílászárók!$C$6:$C$205,A148,Nyílászárók!$I$6:$I$205))</f>
        <v/>
      </c>
      <c r="M148" s="22" t="str">
        <f t="shared" si="9"/>
        <v/>
      </c>
      <c r="N148" s="16"/>
      <c r="O148" s="16"/>
      <c r="P148" s="16"/>
      <c r="Q148" s="13"/>
      <c r="R148" s="13"/>
      <c r="S148" s="13"/>
      <c r="T148" s="13"/>
      <c r="U148" s="13"/>
    </row>
    <row r="149" spans="1:21" ht="20.100000000000001" customHeight="1">
      <c r="A149" s="13"/>
      <c r="B149" s="13"/>
      <c r="C149" s="13"/>
      <c r="D149" s="13"/>
      <c r="E149" s="13"/>
      <c r="F149" s="13"/>
      <c r="G149" s="16"/>
      <c r="H149" s="16"/>
      <c r="I149" s="16"/>
      <c r="J149" s="16"/>
      <c r="K149" s="22" t="str">
        <f t="shared" si="8"/>
        <v/>
      </c>
      <c r="L149" s="22" t="str">
        <f>IF(A149="","",SUMIF(Nyílászárók!$C$6:$C$205,A149,Nyílászárók!$I$6:$I$205))</f>
        <v/>
      </c>
      <c r="M149" s="22" t="str">
        <f t="shared" si="9"/>
        <v/>
      </c>
      <c r="N149" s="16"/>
      <c r="O149" s="16"/>
      <c r="P149" s="16"/>
      <c r="Q149" s="13"/>
      <c r="R149" s="13"/>
      <c r="S149" s="13"/>
      <c r="T149" s="13"/>
      <c r="U149" s="13"/>
    </row>
    <row r="150" spans="1:21" ht="20.100000000000001" customHeight="1">
      <c r="A150" s="13"/>
      <c r="B150" s="13"/>
      <c r="C150" s="13"/>
      <c r="D150" s="13"/>
      <c r="E150" s="13"/>
      <c r="F150" s="13"/>
      <c r="G150" s="16"/>
      <c r="H150" s="16"/>
      <c r="I150" s="16"/>
      <c r="J150" s="16"/>
      <c r="K150" s="22" t="str">
        <f t="shared" si="8"/>
        <v/>
      </c>
      <c r="L150" s="22" t="str">
        <f>IF(A150="","",SUMIF(Nyílászárók!$C$6:$C$205,A150,Nyílászárók!$I$6:$I$205))</f>
        <v/>
      </c>
      <c r="M150" s="22" t="str">
        <f t="shared" si="9"/>
        <v/>
      </c>
      <c r="N150" s="16"/>
      <c r="O150" s="16"/>
      <c r="P150" s="16"/>
      <c r="Q150" s="13"/>
      <c r="R150" s="13"/>
      <c r="S150" s="13"/>
      <c r="T150" s="13"/>
      <c r="U150" s="13"/>
    </row>
    <row r="151" spans="1:21" ht="20.100000000000001" customHeight="1">
      <c r="A151" s="13"/>
      <c r="B151" s="13"/>
      <c r="C151" s="13"/>
      <c r="D151" s="13"/>
      <c r="E151" s="13"/>
      <c r="F151" s="13"/>
      <c r="G151" s="16"/>
      <c r="H151" s="16"/>
      <c r="I151" s="16"/>
      <c r="J151" s="16"/>
      <c r="K151" s="22" t="str">
        <f t="shared" si="8"/>
        <v/>
      </c>
      <c r="L151" s="22" t="str">
        <f>IF(A151="","",SUMIF(Nyílászárók!$C$6:$C$205,A151,Nyílászárók!$I$6:$I$205))</f>
        <v/>
      </c>
      <c r="M151" s="22" t="str">
        <f t="shared" si="9"/>
        <v/>
      </c>
      <c r="N151" s="16"/>
      <c r="O151" s="16"/>
      <c r="P151" s="16"/>
      <c r="Q151" s="13"/>
      <c r="R151" s="13"/>
      <c r="S151" s="13"/>
      <c r="T151" s="13"/>
      <c r="U151" s="13"/>
    </row>
    <row r="152" spans="1:21" ht="20.100000000000001" customHeight="1">
      <c r="A152" s="13"/>
      <c r="B152" s="13"/>
      <c r="C152" s="13"/>
      <c r="D152" s="13"/>
      <c r="E152" s="13"/>
      <c r="F152" s="13"/>
      <c r="G152" s="16"/>
      <c r="H152" s="16"/>
      <c r="I152" s="16"/>
      <c r="J152" s="16"/>
      <c r="K152" s="22" t="str">
        <f t="shared" si="8"/>
        <v/>
      </c>
      <c r="L152" s="22" t="str">
        <f>IF(A152="","",SUMIF(Nyílászárók!$C$6:$C$205,A152,Nyílászárók!$I$6:$I$205))</f>
        <v/>
      </c>
      <c r="M152" s="22" t="str">
        <f t="shared" si="9"/>
        <v/>
      </c>
      <c r="N152" s="16"/>
      <c r="O152" s="16"/>
      <c r="P152" s="16"/>
      <c r="Q152" s="13"/>
      <c r="R152" s="13"/>
      <c r="S152" s="13"/>
      <c r="T152" s="13"/>
      <c r="U152" s="13"/>
    </row>
    <row r="153" spans="1:21" ht="20.100000000000001" customHeight="1">
      <c r="A153" s="13"/>
      <c r="B153" s="13"/>
      <c r="C153" s="13"/>
      <c r="D153" s="13"/>
      <c r="E153" s="13"/>
      <c r="F153" s="13"/>
      <c r="G153" s="16"/>
      <c r="H153" s="16"/>
      <c r="I153" s="16"/>
      <c r="J153" s="16"/>
      <c r="K153" s="22" t="str">
        <f t="shared" si="8"/>
        <v/>
      </c>
      <c r="L153" s="22" t="str">
        <f>IF(A153="","",SUMIF(Nyílászárók!$C$6:$C$205,A153,Nyílászárók!$I$6:$I$205))</f>
        <v/>
      </c>
      <c r="M153" s="22" t="str">
        <f t="shared" si="9"/>
        <v/>
      </c>
      <c r="N153" s="16"/>
      <c r="O153" s="16"/>
      <c r="P153" s="16"/>
      <c r="Q153" s="13"/>
      <c r="R153" s="13"/>
      <c r="S153" s="13"/>
      <c r="T153" s="13"/>
      <c r="U153" s="13"/>
    </row>
    <row r="154" spans="1:21" ht="20.100000000000001" customHeight="1">
      <c r="A154" s="13"/>
      <c r="B154" s="13"/>
      <c r="C154" s="13"/>
      <c r="D154" s="13"/>
      <c r="E154" s="13"/>
      <c r="F154" s="13"/>
      <c r="G154" s="16"/>
      <c r="H154" s="16"/>
      <c r="I154" s="16"/>
      <c r="J154" s="16"/>
      <c r="K154" s="22" t="str">
        <f t="shared" si="8"/>
        <v/>
      </c>
      <c r="L154" s="22" t="str">
        <f>IF(A154="","",SUMIF(Nyílászárók!$C$6:$C$205,A154,Nyílászárók!$I$6:$I$205))</f>
        <v/>
      </c>
      <c r="M154" s="22" t="str">
        <f t="shared" si="9"/>
        <v/>
      </c>
      <c r="N154" s="16"/>
      <c r="O154" s="16"/>
      <c r="P154" s="16"/>
      <c r="Q154" s="13"/>
      <c r="R154" s="13"/>
      <c r="S154" s="13"/>
      <c r="T154" s="13"/>
      <c r="U154" s="13"/>
    </row>
    <row r="155" spans="1:21" ht="20.100000000000001" customHeight="1">
      <c r="A155" s="13"/>
      <c r="B155" s="13"/>
      <c r="C155" s="13"/>
      <c r="D155" s="13"/>
      <c r="E155" s="13"/>
      <c r="F155" s="13"/>
      <c r="G155" s="16"/>
      <c r="H155" s="16"/>
      <c r="I155" s="16"/>
      <c r="J155" s="16"/>
      <c r="K155" s="22" t="str">
        <f t="shared" si="8"/>
        <v/>
      </c>
      <c r="L155" s="22" t="str">
        <f>IF(A155="","",SUMIF(Nyílászárók!$C$6:$C$205,A155,Nyílászárók!$I$6:$I$205))</f>
        <v/>
      </c>
      <c r="M155" s="22" t="str">
        <f t="shared" si="9"/>
        <v/>
      </c>
      <c r="N155" s="16"/>
      <c r="O155" s="16"/>
      <c r="P155" s="16"/>
      <c r="Q155" s="13"/>
      <c r="R155" s="13"/>
      <c r="S155" s="13"/>
      <c r="T155" s="13"/>
      <c r="U155" s="13"/>
    </row>
    <row r="156" spans="1:21" ht="20.100000000000001" customHeight="1">
      <c r="A156" s="13"/>
      <c r="B156" s="13"/>
      <c r="C156" s="13"/>
      <c r="D156" s="13"/>
      <c r="E156" s="13"/>
      <c r="F156" s="13"/>
      <c r="G156" s="16"/>
      <c r="H156" s="16"/>
      <c r="I156" s="16"/>
      <c r="J156" s="16"/>
      <c r="K156" s="22" t="str">
        <f t="shared" si="8"/>
        <v/>
      </c>
      <c r="L156" s="22" t="str">
        <f>IF(A156="","",SUMIF(Nyílászárók!$C$6:$C$205,A156,Nyílászárók!$I$6:$I$205))</f>
        <v/>
      </c>
      <c r="M156" s="22" t="str">
        <f t="shared" si="9"/>
        <v/>
      </c>
      <c r="N156" s="16"/>
      <c r="O156" s="16"/>
      <c r="P156" s="16"/>
      <c r="Q156" s="13"/>
      <c r="R156" s="13"/>
      <c r="S156" s="13"/>
      <c r="T156" s="13"/>
      <c r="U156" s="13"/>
    </row>
    <row r="157" spans="1:21" ht="20.100000000000001" customHeight="1">
      <c r="A157" s="13"/>
      <c r="B157" s="13"/>
      <c r="C157" s="13"/>
      <c r="D157" s="13"/>
      <c r="E157" s="13"/>
      <c r="F157" s="13"/>
      <c r="G157" s="16"/>
      <c r="H157" s="16"/>
      <c r="I157" s="16"/>
      <c r="J157" s="16"/>
      <c r="K157" s="22" t="str">
        <f t="shared" si="8"/>
        <v/>
      </c>
      <c r="L157" s="22" t="str">
        <f>IF(A157="","",SUMIF(Nyílászárók!$C$6:$C$205,A157,Nyílászárók!$I$6:$I$205))</f>
        <v/>
      </c>
      <c r="M157" s="22" t="str">
        <f t="shared" si="9"/>
        <v/>
      </c>
      <c r="N157" s="16"/>
      <c r="O157" s="16"/>
      <c r="P157" s="16"/>
      <c r="Q157" s="13"/>
      <c r="R157" s="13"/>
      <c r="S157" s="13"/>
      <c r="T157" s="13"/>
      <c r="U157" s="13"/>
    </row>
    <row r="158" spans="1:21" ht="20.100000000000001" customHeight="1">
      <c r="A158" s="13"/>
      <c r="B158" s="13"/>
      <c r="C158" s="13"/>
      <c r="D158" s="13"/>
      <c r="E158" s="13"/>
      <c r="F158" s="13"/>
      <c r="G158" s="16"/>
      <c r="H158" s="16"/>
      <c r="I158" s="16"/>
      <c r="J158" s="16"/>
      <c r="K158" s="22" t="str">
        <f t="shared" si="8"/>
        <v/>
      </c>
      <c r="L158" s="22" t="str">
        <f>IF(A158="","",SUMIF(Nyílászárók!$C$6:$C$205,A158,Nyílászárók!$I$6:$I$205))</f>
        <v/>
      </c>
      <c r="M158" s="22" t="str">
        <f t="shared" si="9"/>
        <v/>
      </c>
      <c r="N158" s="16"/>
      <c r="O158" s="16"/>
      <c r="P158" s="16"/>
      <c r="Q158" s="13"/>
      <c r="R158" s="13"/>
      <c r="S158" s="13"/>
      <c r="T158" s="13"/>
      <c r="U158" s="13"/>
    </row>
    <row r="159" spans="1:21" ht="20.100000000000001" customHeight="1">
      <c r="A159" s="13"/>
      <c r="B159" s="13"/>
      <c r="C159" s="13"/>
      <c r="D159" s="13"/>
      <c r="E159" s="13"/>
      <c r="F159" s="13"/>
      <c r="G159" s="16"/>
      <c r="H159" s="16"/>
      <c r="I159" s="16"/>
      <c r="J159" s="16"/>
      <c r="K159" s="22" t="str">
        <f t="shared" si="8"/>
        <v/>
      </c>
      <c r="L159" s="22" t="str">
        <f>IF(A159="","",SUMIF(Nyílászárók!$C$6:$C$205,A159,Nyílászárók!$I$6:$I$205))</f>
        <v/>
      </c>
      <c r="M159" s="22" t="str">
        <f t="shared" si="9"/>
        <v/>
      </c>
      <c r="N159" s="16"/>
      <c r="O159" s="16"/>
      <c r="P159" s="16"/>
      <c r="Q159" s="13"/>
      <c r="R159" s="13"/>
      <c r="S159" s="13"/>
      <c r="T159" s="13"/>
      <c r="U159" s="13"/>
    </row>
    <row r="160" spans="1:21" ht="20.100000000000001" customHeight="1">
      <c r="A160" s="13"/>
      <c r="B160" s="13"/>
      <c r="C160" s="13"/>
      <c r="D160" s="13"/>
      <c r="E160" s="13"/>
      <c r="F160" s="13"/>
      <c r="G160" s="16"/>
      <c r="H160" s="16"/>
      <c r="I160" s="16"/>
      <c r="J160" s="16"/>
      <c r="K160" s="22" t="str">
        <f t="shared" si="8"/>
        <v/>
      </c>
      <c r="L160" s="22" t="str">
        <f>IF(A160="","",SUMIF(Nyílászárók!$C$6:$C$205,A160,Nyílászárók!$I$6:$I$205))</f>
        <v/>
      </c>
      <c r="M160" s="22" t="str">
        <f t="shared" si="9"/>
        <v/>
      </c>
      <c r="N160" s="16"/>
      <c r="O160" s="16"/>
      <c r="P160" s="16"/>
      <c r="Q160" s="13"/>
      <c r="R160" s="13"/>
      <c r="S160" s="13"/>
      <c r="T160" s="13"/>
      <c r="U160" s="13"/>
    </row>
    <row r="161" spans="1:21" ht="20.100000000000001" customHeight="1">
      <c r="A161" s="13"/>
      <c r="B161" s="13"/>
      <c r="C161" s="13"/>
      <c r="D161" s="13"/>
      <c r="E161" s="13"/>
      <c r="F161" s="13"/>
      <c r="G161" s="16"/>
      <c r="H161" s="16"/>
      <c r="I161" s="16"/>
      <c r="J161" s="16"/>
      <c r="K161" s="22" t="str">
        <f t="shared" si="8"/>
        <v/>
      </c>
      <c r="L161" s="22" t="str">
        <f>IF(A161="","",SUMIF(Nyílászárók!$C$6:$C$205,A161,Nyílászárók!$I$6:$I$205))</f>
        <v/>
      </c>
      <c r="M161" s="22" t="str">
        <f t="shared" si="9"/>
        <v/>
      </c>
      <c r="N161" s="16"/>
      <c r="O161" s="16"/>
      <c r="P161" s="16"/>
      <c r="Q161" s="13"/>
      <c r="R161" s="13"/>
      <c r="S161" s="13"/>
      <c r="T161" s="13"/>
      <c r="U161" s="13"/>
    </row>
    <row r="162" spans="1:21" ht="20.100000000000001" customHeight="1">
      <c r="A162" s="13"/>
      <c r="B162" s="13"/>
      <c r="C162" s="13"/>
      <c r="D162" s="13"/>
      <c r="E162" s="13"/>
      <c r="F162" s="13"/>
      <c r="G162" s="16"/>
      <c r="H162" s="16"/>
      <c r="I162" s="16"/>
      <c r="J162" s="16"/>
      <c r="K162" s="22" t="str">
        <f t="shared" si="8"/>
        <v/>
      </c>
      <c r="L162" s="22" t="str">
        <f>IF(A162="","",SUMIF(Nyílászárók!$C$6:$C$205,A162,Nyílászárók!$I$6:$I$205))</f>
        <v/>
      </c>
      <c r="M162" s="22" t="str">
        <f t="shared" si="9"/>
        <v/>
      </c>
      <c r="N162" s="16"/>
      <c r="O162" s="16"/>
      <c r="P162" s="16"/>
      <c r="Q162" s="13"/>
      <c r="R162" s="13"/>
      <c r="S162" s="13"/>
      <c r="T162" s="13"/>
      <c r="U162" s="13"/>
    </row>
    <row r="163" spans="1:21" ht="20.100000000000001" customHeight="1">
      <c r="A163" s="13"/>
      <c r="B163" s="13"/>
      <c r="C163" s="13"/>
      <c r="D163" s="13"/>
      <c r="E163" s="13"/>
      <c r="F163" s="13"/>
      <c r="G163" s="16"/>
      <c r="H163" s="16"/>
      <c r="I163" s="16"/>
      <c r="J163" s="16"/>
      <c r="K163" s="22" t="str">
        <f t="shared" si="8"/>
        <v/>
      </c>
      <c r="L163" s="22" t="str">
        <f>IF(A163="","",SUMIF(Nyílászárók!$C$6:$C$205,A163,Nyílászárók!$I$6:$I$205))</f>
        <v/>
      </c>
      <c r="M163" s="22" t="str">
        <f t="shared" si="9"/>
        <v/>
      </c>
      <c r="N163" s="16"/>
      <c r="O163" s="16"/>
      <c r="P163" s="16"/>
      <c r="Q163" s="13"/>
      <c r="R163" s="13"/>
      <c r="S163" s="13"/>
      <c r="T163" s="13"/>
      <c r="U163" s="13"/>
    </row>
    <row r="164" spans="1:21" ht="20.100000000000001" customHeight="1">
      <c r="A164" s="13"/>
      <c r="B164" s="13"/>
      <c r="C164" s="13"/>
      <c r="D164" s="13"/>
      <c r="E164" s="13"/>
      <c r="F164" s="13"/>
      <c r="G164" s="16"/>
      <c r="H164" s="16"/>
      <c r="I164" s="16"/>
      <c r="J164" s="16"/>
      <c r="K164" s="22" t="str">
        <f t="shared" si="8"/>
        <v/>
      </c>
      <c r="L164" s="22" t="str">
        <f>IF(A164="","",SUMIF(Nyílászárók!$C$6:$C$205,A164,Nyílászárók!$I$6:$I$205))</f>
        <v/>
      </c>
      <c r="M164" s="22" t="str">
        <f t="shared" si="9"/>
        <v/>
      </c>
      <c r="N164" s="16"/>
      <c r="O164" s="16"/>
      <c r="P164" s="16"/>
      <c r="Q164" s="13"/>
      <c r="R164" s="13"/>
      <c r="S164" s="13"/>
      <c r="T164" s="13"/>
      <c r="U164" s="13"/>
    </row>
    <row r="165" spans="1:21" ht="20.100000000000001" customHeight="1">
      <c r="A165" s="13"/>
      <c r="B165" s="13"/>
      <c r="C165" s="13"/>
      <c r="D165" s="13"/>
      <c r="E165" s="13"/>
      <c r="F165" s="13"/>
      <c r="G165" s="16"/>
      <c r="H165" s="16"/>
      <c r="I165" s="16"/>
      <c r="J165" s="16"/>
      <c r="K165" s="22" t="str">
        <f t="shared" si="8"/>
        <v/>
      </c>
      <c r="L165" s="22" t="str">
        <f>IF(A165="","",SUMIF(Nyílászárók!$C$6:$C$205,A165,Nyílászárók!$I$6:$I$205))</f>
        <v/>
      </c>
      <c r="M165" s="22" t="str">
        <f t="shared" si="9"/>
        <v/>
      </c>
      <c r="N165" s="16"/>
      <c r="O165" s="16"/>
      <c r="P165" s="16"/>
      <c r="Q165" s="13"/>
      <c r="R165" s="13"/>
      <c r="S165" s="13"/>
      <c r="T165" s="13"/>
      <c r="U165" s="13"/>
    </row>
    <row r="166" spans="1:21" ht="20.100000000000001" customHeight="1">
      <c r="A166" s="13"/>
      <c r="B166" s="13"/>
      <c r="C166" s="13"/>
      <c r="D166" s="13"/>
      <c r="E166" s="13"/>
      <c r="F166" s="13"/>
      <c r="G166" s="16"/>
      <c r="H166" s="16"/>
      <c r="I166" s="16"/>
      <c r="J166" s="16"/>
      <c r="K166" s="22" t="str">
        <f t="shared" ref="K166:K197" si="10">IF(A166="","",IF(J166&lt;&gt;"",J166,IF(OR(H166="",I166=""),"",H166*I166)))</f>
        <v/>
      </c>
      <c r="L166" s="22" t="str">
        <f>IF(A166="","",SUMIF(Nyílászárók!$C$6:$C$205,A166,Nyílászárók!$I$6:$I$205))</f>
        <v/>
      </c>
      <c r="M166" s="22" t="str">
        <f t="shared" ref="M166:M197" si="11">IF(A166="","",IF(K166="","",K166-L166))</f>
        <v/>
      </c>
      <c r="N166" s="16"/>
      <c r="O166" s="16"/>
      <c r="P166" s="16"/>
      <c r="Q166" s="13"/>
      <c r="R166" s="13"/>
      <c r="S166" s="13"/>
      <c r="T166" s="13"/>
      <c r="U166" s="13"/>
    </row>
    <row r="167" spans="1:21" ht="20.100000000000001" customHeight="1">
      <c r="A167" s="13"/>
      <c r="B167" s="13"/>
      <c r="C167" s="13"/>
      <c r="D167" s="13"/>
      <c r="E167" s="13"/>
      <c r="F167" s="13"/>
      <c r="G167" s="16"/>
      <c r="H167" s="16"/>
      <c r="I167" s="16"/>
      <c r="J167" s="16"/>
      <c r="K167" s="22" t="str">
        <f t="shared" si="10"/>
        <v/>
      </c>
      <c r="L167" s="22" t="str">
        <f>IF(A167="","",SUMIF(Nyílászárók!$C$6:$C$205,A167,Nyílászárók!$I$6:$I$205))</f>
        <v/>
      </c>
      <c r="M167" s="22" t="str">
        <f t="shared" si="11"/>
        <v/>
      </c>
      <c r="N167" s="16"/>
      <c r="O167" s="16"/>
      <c r="P167" s="16"/>
      <c r="Q167" s="13"/>
      <c r="R167" s="13"/>
      <c r="S167" s="13"/>
      <c r="T167" s="13"/>
      <c r="U167" s="13"/>
    </row>
    <row r="168" spans="1:21" ht="20.100000000000001" customHeight="1">
      <c r="A168" s="13"/>
      <c r="B168" s="13"/>
      <c r="C168" s="13"/>
      <c r="D168" s="13"/>
      <c r="E168" s="13"/>
      <c r="F168" s="13"/>
      <c r="G168" s="16"/>
      <c r="H168" s="16"/>
      <c r="I168" s="16"/>
      <c r="J168" s="16"/>
      <c r="K168" s="22" t="str">
        <f t="shared" si="10"/>
        <v/>
      </c>
      <c r="L168" s="22" t="str">
        <f>IF(A168="","",SUMIF(Nyílászárók!$C$6:$C$205,A168,Nyílászárók!$I$6:$I$205))</f>
        <v/>
      </c>
      <c r="M168" s="22" t="str">
        <f t="shared" si="11"/>
        <v/>
      </c>
      <c r="N168" s="16"/>
      <c r="O168" s="16"/>
      <c r="P168" s="16"/>
      <c r="Q168" s="13"/>
      <c r="R168" s="13"/>
      <c r="S168" s="13"/>
      <c r="T168" s="13"/>
      <c r="U168" s="13"/>
    </row>
    <row r="169" spans="1:21" ht="20.100000000000001" customHeight="1">
      <c r="A169" s="13"/>
      <c r="B169" s="13"/>
      <c r="C169" s="13"/>
      <c r="D169" s="13"/>
      <c r="E169" s="13"/>
      <c r="F169" s="13"/>
      <c r="G169" s="16"/>
      <c r="H169" s="16"/>
      <c r="I169" s="16"/>
      <c r="J169" s="16"/>
      <c r="K169" s="22" t="str">
        <f t="shared" si="10"/>
        <v/>
      </c>
      <c r="L169" s="22" t="str">
        <f>IF(A169="","",SUMIF(Nyílászárók!$C$6:$C$205,A169,Nyílászárók!$I$6:$I$205))</f>
        <v/>
      </c>
      <c r="M169" s="22" t="str">
        <f t="shared" si="11"/>
        <v/>
      </c>
      <c r="N169" s="16"/>
      <c r="O169" s="16"/>
      <c r="P169" s="16"/>
      <c r="Q169" s="13"/>
      <c r="R169" s="13"/>
      <c r="S169" s="13"/>
      <c r="T169" s="13"/>
      <c r="U169" s="13"/>
    </row>
    <row r="170" spans="1:21" ht="20.100000000000001" customHeight="1">
      <c r="A170" s="13"/>
      <c r="B170" s="13"/>
      <c r="C170" s="13"/>
      <c r="D170" s="13"/>
      <c r="E170" s="13"/>
      <c r="F170" s="13"/>
      <c r="G170" s="16"/>
      <c r="H170" s="16"/>
      <c r="I170" s="16"/>
      <c r="J170" s="16"/>
      <c r="K170" s="22" t="str">
        <f t="shared" si="10"/>
        <v/>
      </c>
      <c r="L170" s="22" t="str">
        <f>IF(A170="","",SUMIF(Nyílászárók!$C$6:$C$205,A170,Nyílászárók!$I$6:$I$205))</f>
        <v/>
      </c>
      <c r="M170" s="22" t="str">
        <f t="shared" si="11"/>
        <v/>
      </c>
      <c r="N170" s="16"/>
      <c r="O170" s="16"/>
      <c r="P170" s="16"/>
      <c r="Q170" s="13"/>
      <c r="R170" s="13"/>
      <c r="S170" s="13"/>
      <c r="T170" s="13"/>
      <c r="U170" s="13"/>
    </row>
    <row r="171" spans="1:21" ht="20.100000000000001" customHeight="1">
      <c r="A171" s="13"/>
      <c r="B171" s="13"/>
      <c r="C171" s="13"/>
      <c r="D171" s="13"/>
      <c r="E171" s="13"/>
      <c r="F171" s="13"/>
      <c r="G171" s="16"/>
      <c r="H171" s="16"/>
      <c r="I171" s="16"/>
      <c r="J171" s="16"/>
      <c r="K171" s="22" t="str">
        <f t="shared" si="10"/>
        <v/>
      </c>
      <c r="L171" s="22" t="str">
        <f>IF(A171="","",SUMIF(Nyílászárók!$C$6:$C$205,A171,Nyílászárók!$I$6:$I$205))</f>
        <v/>
      </c>
      <c r="M171" s="22" t="str">
        <f t="shared" si="11"/>
        <v/>
      </c>
      <c r="N171" s="16"/>
      <c r="O171" s="16"/>
      <c r="P171" s="16"/>
      <c r="Q171" s="13"/>
      <c r="R171" s="13"/>
      <c r="S171" s="13"/>
      <c r="T171" s="13"/>
      <c r="U171" s="13"/>
    </row>
    <row r="172" spans="1:21" ht="20.100000000000001" customHeight="1">
      <c r="A172" s="13"/>
      <c r="B172" s="13"/>
      <c r="C172" s="13"/>
      <c r="D172" s="13"/>
      <c r="E172" s="13"/>
      <c r="F172" s="13"/>
      <c r="G172" s="16"/>
      <c r="H172" s="16"/>
      <c r="I172" s="16"/>
      <c r="J172" s="16"/>
      <c r="K172" s="22" t="str">
        <f t="shared" si="10"/>
        <v/>
      </c>
      <c r="L172" s="22" t="str">
        <f>IF(A172="","",SUMIF(Nyílászárók!$C$6:$C$205,A172,Nyílászárók!$I$6:$I$205))</f>
        <v/>
      </c>
      <c r="M172" s="22" t="str">
        <f t="shared" si="11"/>
        <v/>
      </c>
      <c r="N172" s="16"/>
      <c r="O172" s="16"/>
      <c r="P172" s="16"/>
      <c r="Q172" s="13"/>
      <c r="R172" s="13"/>
      <c r="S172" s="13"/>
      <c r="T172" s="13"/>
      <c r="U172" s="13"/>
    </row>
    <row r="173" spans="1:21" ht="20.100000000000001" customHeight="1">
      <c r="A173" s="13"/>
      <c r="B173" s="13"/>
      <c r="C173" s="13"/>
      <c r="D173" s="13"/>
      <c r="E173" s="13"/>
      <c r="F173" s="13"/>
      <c r="G173" s="16"/>
      <c r="H173" s="16"/>
      <c r="I173" s="16"/>
      <c r="J173" s="16"/>
      <c r="K173" s="22" t="str">
        <f t="shared" si="10"/>
        <v/>
      </c>
      <c r="L173" s="22" t="str">
        <f>IF(A173="","",SUMIF(Nyílászárók!$C$6:$C$205,A173,Nyílászárók!$I$6:$I$205))</f>
        <v/>
      </c>
      <c r="M173" s="22" t="str">
        <f t="shared" si="11"/>
        <v/>
      </c>
      <c r="N173" s="16"/>
      <c r="O173" s="16"/>
      <c r="P173" s="16"/>
      <c r="Q173" s="13"/>
      <c r="R173" s="13"/>
      <c r="S173" s="13"/>
      <c r="T173" s="13"/>
      <c r="U173" s="13"/>
    </row>
    <row r="174" spans="1:21" ht="20.100000000000001" customHeight="1">
      <c r="A174" s="13"/>
      <c r="B174" s="13"/>
      <c r="C174" s="13"/>
      <c r="D174" s="13"/>
      <c r="E174" s="13"/>
      <c r="F174" s="13"/>
      <c r="G174" s="16"/>
      <c r="H174" s="16"/>
      <c r="I174" s="16"/>
      <c r="J174" s="16"/>
      <c r="K174" s="22" t="str">
        <f t="shared" si="10"/>
        <v/>
      </c>
      <c r="L174" s="22" t="str">
        <f>IF(A174="","",SUMIF(Nyílászárók!$C$6:$C$205,A174,Nyílászárók!$I$6:$I$205))</f>
        <v/>
      </c>
      <c r="M174" s="22" t="str">
        <f t="shared" si="11"/>
        <v/>
      </c>
      <c r="N174" s="16"/>
      <c r="O174" s="16"/>
      <c r="P174" s="16"/>
      <c r="Q174" s="13"/>
      <c r="R174" s="13"/>
      <c r="S174" s="13"/>
      <c r="T174" s="13"/>
      <c r="U174" s="13"/>
    </row>
    <row r="175" spans="1:21" ht="20.100000000000001" customHeight="1">
      <c r="A175" s="13"/>
      <c r="B175" s="13"/>
      <c r="C175" s="13"/>
      <c r="D175" s="13"/>
      <c r="E175" s="13"/>
      <c r="F175" s="13"/>
      <c r="G175" s="16"/>
      <c r="H175" s="16"/>
      <c r="I175" s="16"/>
      <c r="J175" s="16"/>
      <c r="K175" s="22" t="str">
        <f t="shared" si="10"/>
        <v/>
      </c>
      <c r="L175" s="22" t="str">
        <f>IF(A175="","",SUMIF(Nyílászárók!$C$6:$C$205,A175,Nyílászárók!$I$6:$I$205))</f>
        <v/>
      </c>
      <c r="M175" s="22" t="str">
        <f t="shared" si="11"/>
        <v/>
      </c>
      <c r="N175" s="16"/>
      <c r="O175" s="16"/>
      <c r="P175" s="16"/>
      <c r="Q175" s="13"/>
      <c r="R175" s="13"/>
      <c r="S175" s="13"/>
      <c r="T175" s="13"/>
      <c r="U175" s="13"/>
    </row>
    <row r="176" spans="1:21" ht="20.100000000000001" customHeight="1">
      <c r="A176" s="13"/>
      <c r="B176" s="13"/>
      <c r="C176" s="13"/>
      <c r="D176" s="13"/>
      <c r="E176" s="13"/>
      <c r="F176" s="13"/>
      <c r="G176" s="16"/>
      <c r="H176" s="16"/>
      <c r="I176" s="16"/>
      <c r="J176" s="16"/>
      <c r="K176" s="22" t="str">
        <f t="shared" si="10"/>
        <v/>
      </c>
      <c r="L176" s="22" t="str">
        <f>IF(A176="","",SUMIF(Nyílászárók!$C$6:$C$205,A176,Nyílászárók!$I$6:$I$205))</f>
        <v/>
      </c>
      <c r="M176" s="22" t="str">
        <f t="shared" si="11"/>
        <v/>
      </c>
      <c r="N176" s="16"/>
      <c r="O176" s="16"/>
      <c r="P176" s="16"/>
      <c r="Q176" s="13"/>
      <c r="R176" s="13"/>
      <c r="S176" s="13"/>
      <c r="T176" s="13"/>
      <c r="U176" s="13"/>
    </row>
    <row r="177" spans="1:21" ht="20.100000000000001" customHeight="1">
      <c r="A177" s="13"/>
      <c r="B177" s="13"/>
      <c r="C177" s="13"/>
      <c r="D177" s="13"/>
      <c r="E177" s="13"/>
      <c r="F177" s="13"/>
      <c r="G177" s="16"/>
      <c r="H177" s="16"/>
      <c r="I177" s="16"/>
      <c r="J177" s="16"/>
      <c r="K177" s="22" t="str">
        <f t="shared" si="10"/>
        <v/>
      </c>
      <c r="L177" s="22" t="str">
        <f>IF(A177="","",SUMIF(Nyílászárók!$C$6:$C$205,A177,Nyílászárók!$I$6:$I$205))</f>
        <v/>
      </c>
      <c r="M177" s="22" t="str">
        <f t="shared" si="11"/>
        <v/>
      </c>
      <c r="N177" s="16"/>
      <c r="O177" s="16"/>
      <c r="P177" s="16"/>
      <c r="Q177" s="13"/>
      <c r="R177" s="13"/>
      <c r="S177" s="13"/>
      <c r="T177" s="13"/>
      <c r="U177" s="13"/>
    </row>
    <row r="178" spans="1:21" ht="20.100000000000001" customHeight="1">
      <c r="A178" s="13"/>
      <c r="B178" s="13"/>
      <c r="C178" s="13"/>
      <c r="D178" s="13"/>
      <c r="E178" s="13"/>
      <c r="F178" s="13"/>
      <c r="G178" s="16"/>
      <c r="H178" s="16"/>
      <c r="I178" s="16"/>
      <c r="J178" s="16"/>
      <c r="K178" s="22" t="str">
        <f t="shared" si="10"/>
        <v/>
      </c>
      <c r="L178" s="22" t="str">
        <f>IF(A178="","",SUMIF(Nyílászárók!$C$6:$C$205,A178,Nyílászárók!$I$6:$I$205))</f>
        <v/>
      </c>
      <c r="M178" s="22" t="str">
        <f t="shared" si="11"/>
        <v/>
      </c>
      <c r="N178" s="16"/>
      <c r="O178" s="16"/>
      <c r="P178" s="16"/>
      <c r="Q178" s="13"/>
      <c r="R178" s="13"/>
      <c r="S178" s="13"/>
      <c r="T178" s="13"/>
      <c r="U178" s="13"/>
    </row>
    <row r="179" spans="1:21" ht="20.100000000000001" customHeight="1">
      <c r="A179" s="13"/>
      <c r="B179" s="13"/>
      <c r="C179" s="13"/>
      <c r="D179" s="13"/>
      <c r="E179" s="13"/>
      <c r="F179" s="13"/>
      <c r="G179" s="16"/>
      <c r="H179" s="16"/>
      <c r="I179" s="16"/>
      <c r="J179" s="16"/>
      <c r="K179" s="22" t="str">
        <f t="shared" si="10"/>
        <v/>
      </c>
      <c r="L179" s="22" t="str">
        <f>IF(A179="","",SUMIF(Nyílászárók!$C$6:$C$205,A179,Nyílászárók!$I$6:$I$205))</f>
        <v/>
      </c>
      <c r="M179" s="22" t="str">
        <f t="shared" si="11"/>
        <v/>
      </c>
      <c r="N179" s="16"/>
      <c r="O179" s="16"/>
      <c r="P179" s="16"/>
      <c r="Q179" s="13"/>
      <c r="R179" s="13"/>
      <c r="S179" s="13"/>
      <c r="T179" s="13"/>
      <c r="U179" s="13"/>
    </row>
    <row r="180" spans="1:21" ht="20.100000000000001" customHeight="1">
      <c r="A180" s="13"/>
      <c r="B180" s="13"/>
      <c r="C180" s="13"/>
      <c r="D180" s="13"/>
      <c r="E180" s="13"/>
      <c r="F180" s="13"/>
      <c r="G180" s="16"/>
      <c r="H180" s="16"/>
      <c r="I180" s="16"/>
      <c r="J180" s="16"/>
      <c r="K180" s="22" t="str">
        <f t="shared" si="10"/>
        <v/>
      </c>
      <c r="L180" s="22" t="str">
        <f>IF(A180="","",SUMIF(Nyílászárók!$C$6:$C$205,A180,Nyílászárók!$I$6:$I$205))</f>
        <v/>
      </c>
      <c r="M180" s="22" t="str">
        <f t="shared" si="11"/>
        <v/>
      </c>
      <c r="N180" s="16"/>
      <c r="O180" s="16"/>
      <c r="P180" s="16"/>
      <c r="Q180" s="13"/>
      <c r="R180" s="13"/>
      <c r="S180" s="13"/>
      <c r="T180" s="13"/>
      <c r="U180" s="13"/>
    </row>
    <row r="181" spans="1:21" ht="20.100000000000001" customHeight="1">
      <c r="A181" s="13"/>
      <c r="B181" s="13"/>
      <c r="C181" s="13"/>
      <c r="D181" s="13"/>
      <c r="E181" s="13"/>
      <c r="F181" s="13"/>
      <c r="G181" s="16"/>
      <c r="H181" s="16"/>
      <c r="I181" s="16"/>
      <c r="J181" s="16"/>
      <c r="K181" s="22" t="str">
        <f t="shared" si="10"/>
        <v/>
      </c>
      <c r="L181" s="22" t="str">
        <f>IF(A181="","",SUMIF(Nyílászárók!$C$6:$C$205,A181,Nyílászárók!$I$6:$I$205))</f>
        <v/>
      </c>
      <c r="M181" s="22" t="str">
        <f t="shared" si="11"/>
        <v/>
      </c>
      <c r="N181" s="16"/>
      <c r="O181" s="16"/>
      <c r="P181" s="16"/>
      <c r="Q181" s="13"/>
      <c r="R181" s="13"/>
      <c r="S181" s="13"/>
      <c r="T181" s="13"/>
      <c r="U181" s="13"/>
    </row>
    <row r="182" spans="1:21" ht="20.100000000000001" customHeight="1">
      <c r="A182" s="13"/>
      <c r="B182" s="13"/>
      <c r="C182" s="13"/>
      <c r="D182" s="13"/>
      <c r="E182" s="13"/>
      <c r="F182" s="13"/>
      <c r="G182" s="16"/>
      <c r="H182" s="16"/>
      <c r="I182" s="16"/>
      <c r="J182" s="16"/>
      <c r="K182" s="22" t="str">
        <f t="shared" si="10"/>
        <v/>
      </c>
      <c r="L182" s="22" t="str">
        <f>IF(A182="","",SUMIF(Nyílászárók!$C$6:$C$205,A182,Nyílászárók!$I$6:$I$205))</f>
        <v/>
      </c>
      <c r="M182" s="22" t="str">
        <f t="shared" si="11"/>
        <v/>
      </c>
      <c r="N182" s="16"/>
      <c r="O182" s="16"/>
      <c r="P182" s="16"/>
      <c r="Q182" s="13"/>
      <c r="R182" s="13"/>
      <c r="S182" s="13"/>
      <c r="T182" s="13"/>
      <c r="U182" s="13"/>
    </row>
    <row r="183" spans="1:21" ht="20.100000000000001" customHeight="1">
      <c r="A183" s="13"/>
      <c r="B183" s="13"/>
      <c r="C183" s="13"/>
      <c r="D183" s="13"/>
      <c r="E183" s="13"/>
      <c r="F183" s="13"/>
      <c r="G183" s="16"/>
      <c r="H183" s="16"/>
      <c r="I183" s="16"/>
      <c r="J183" s="16"/>
      <c r="K183" s="22" t="str">
        <f t="shared" si="10"/>
        <v/>
      </c>
      <c r="L183" s="22" t="str">
        <f>IF(A183="","",SUMIF(Nyílászárók!$C$6:$C$205,A183,Nyílászárók!$I$6:$I$205))</f>
        <v/>
      </c>
      <c r="M183" s="22" t="str">
        <f t="shared" si="11"/>
        <v/>
      </c>
      <c r="N183" s="16"/>
      <c r="O183" s="16"/>
      <c r="P183" s="16"/>
      <c r="Q183" s="13"/>
      <c r="R183" s="13"/>
      <c r="S183" s="13"/>
      <c r="T183" s="13"/>
      <c r="U183" s="13"/>
    </row>
    <row r="184" spans="1:21" ht="20.100000000000001" customHeight="1">
      <c r="A184" s="13"/>
      <c r="B184" s="13"/>
      <c r="C184" s="13"/>
      <c r="D184" s="13"/>
      <c r="E184" s="13"/>
      <c r="F184" s="13"/>
      <c r="G184" s="16"/>
      <c r="H184" s="16"/>
      <c r="I184" s="16"/>
      <c r="J184" s="16"/>
      <c r="K184" s="22" t="str">
        <f t="shared" si="10"/>
        <v/>
      </c>
      <c r="L184" s="22" t="str">
        <f>IF(A184="","",SUMIF(Nyílászárók!$C$6:$C$205,A184,Nyílászárók!$I$6:$I$205))</f>
        <v/>
      </c>
      <c r="M184" s="22" t="str">
        <f t="shared" si="11"/>
        <v/>
      </c>
      <c r="N184" s="16"/>
      <c r="O184" s="16"/>
      <c r="P184" s="16"/>
      <c r="Q184" s="13"/>
      <c r="R184" s="13"/>
      <c r="S184" s="13"/>
      <c r="T184" s="13"/>
      <c r="U184" s="13"/>
    </row>
    <row r="185" spans="1:21" ht="20.100000000000001" customHeight="1">
      <c r="A185" s="13"/>
      <c r="B185" s="13"/>
      <c r="C185" s="13"/>
      <c r="D185" s="13"/>
      <c r="E185" s="13"/>
      <c r="F185" s="13"/>
      <c r="G185" s="16"/>
      <c r="H185" s="16"/>
      <c r="I185" s="16"/>
      <c r="J185" s="16"/>
      <c r="K185" s="22" t="str">
        <f t="shared" si="10"/>
        <v/>
      </c>
      <c r="L185" s="22" t="str">
        <f>IF(A185="","",SUMIF(Nyílászárók!$C$6:$C$205,A185,Nyílászárók!$I$6:$I$205))</f>
        <v/>
      </c>
      <c r="M185" s="22" t="str">
        <f t="shared" si="11"/>
        <v/>
      </c>
      <c r="N185" s="16"/>
      <c r="O185" s="16"/>
      <c r="P185" s="16"/>
      <c r="Q185" s="13"/>
      <c r="R185" s="13"/>
      <c r="S185" s="13"/>
      <c r="T185" s="13"/>
      <c r="U185" s="13"/>
    </row>
    <row r="186" spans="1:21" ht="20.100000000000001" customHeight="1">
      <c r="A186" s="13"/>
      <c r="B186" s="13"/>
      <c r="C186" s="13"/>
      <c r="D186" s="13"/>
      <c r="E186" s="13"/>
      <c r="F186" s="13"/>
      <c r="G186" s="16"/>
      <c r="H186" s="16"/>
      <c r="I186" s="16"/>
      <c r="J186" s="16"/>
      <c r="K186" s="22" t="str">
        <f t="shared" si="10"/>
        <v/>
      </c>
      <c r="L186" s="22" t="str">
        <f>IF(A186="","",SUMIF(Nyílászárók!$C$6:$C$205,A186,Nyílászárók!$I$6:$I$205))</f>
        <v/>
      </c>
      <c r="M186" s="22" t="str">
        <f t="shared" si="11"/>
        <v/>
      </c>
      <c r="N186" s="16"/>
      <c r="O186" s="16"/>
      <c r="P186" s="16"/>
      <c r="Q186" s="13"/>
      <c r="R186" s="13"/>
      <c r="S186" s="13"/>
      <c r="T186" s="13"/>
      <c r="U186" s="13"/>
    </row>
    <row r="187" spans="1:21" ht="20.100000000000001" customHeight="1">
      <c r="A187" s="13"/>
      <c r="B187" s="13"/>
      <c r="C187" s="13"/>
      <c r="D187" s="13"/>
      <c r="E187" s="13"/>
      <c r="F187" s="13"/>
      <c r="G187" s="16"/>
      <c r="H187" s="16"/>
      <c r="I187" s="16"/>
      <c r="J187" s="16"/>
      <c r="K187" s="22" t="str">
        <f t="shared" si="10"/>
        <v/>
      </c>
      <c r="L187" s="22" t="str">
        <f>IF(A187="","",SUMIF(Nyílászárók!$C$6:$C$205,A187,Nyílászárók!$I$6:$I$205))</f>
        <v/>
      </c>
      <c r="M187" s="22" t="str">
        <f t="shared" si="11"/>
        <v/>
      </c>
      <c r="N187" s="16"/>
      <c r="O187" s="16"/>
      <c r="P187" s="16"/>
      <c r="Q187" s="13"/>
      <c r="R187" s="13"/>
      <c r="S187" s="13"/>
      <c r="T187" s="13"/>
      <c r="U187" s="13"/>
    </row>
    <row r="188" spans="1:21" ht="20.100000000000001" customHeight="1">
      <c r="A188" s="13"/>
      <c r="B188" s="13"/>
      <c r="C188" s="13"/>
      <c r="D188" s="13"/>
      <c r="E188" s="13"/>
      <c r="F188" s="13"/>
      <c r="G188" s="16"/>
      <c r="H188" s="16"/>
      <c r="I188" s="16"/>
      <c r="J188" s="16"/>
      <c r="K188" s="22" t="str">
        <f t="shared" si="10"/>
        <v/>
      </c>
      <c r="L188" s="22" t="str">
        <f>IF(A188="","",SUMIF(Nyílászárók!$C$6:$C$205,A188,Nyílászárók!$I$6:$I$205))</f>
        <v/>
      </c>
      <c r="M188" s="22" t="str">
        <f t="shared" si="11"/>
        <v/>
      </c>
      <c r="N188" s="16"/>
      <c r="O188" s="16"/>
      <c r="P188" s="16"/>
      <c r="Q188" s="13"/>
      <c r="R188" s="13"/>
      <c r="S188" s="13"/>
      <c r="T188" s="13"/>
      <c r="U188" s="13"/>
    </row>
    <row r="189" spans="1:21" ht="20.100000000000001" customHeight="1">
      <c r="A189" s="13"/>
      <c r="B189" s="13"/>
      <c r="C189" s="13"/>
      <c r="D189" s="13"/>
      <c r="E189" s="13"/>
      <c r="F189" s="13"/>
      <c r="G189" s="16"/>
      <c r="H189" s="16"/>
      <c r="I189" s="16"/>
      <c r="J189" s="16"/>
      <c r="K189" s="22" t="str">
        <f t="shared" si="10"/>
        <v/>
      </c>
      <c r="L189" s="22" t="str">
        <f>IF(A189="","",SUMIF(Nyílászárók!$C$6:$C$205,A189,Nyílászárók!$I$6:$I$205))</f>
        <v/>
      </c>
      <c r="M189" s="22" t="str">
        <f t="shared" si="11"/>
        <v/>
      </c>
      <c r="N189" s="16"/>
      <c r="O189" s="16"/>
      <c r="P189" s="16"/>
      <c r="Q189" s="13"/>
      <c r="R189" s="13"/>
      <c r="S189" s="13"/>
      <c r="T189" s="13"/>
      <c r="U189" s="13"/>
    </row>
    <row r="190" spans="1:21" ht="20.100000000000001" customHeight="1">
      <c r="A190" s="13"/>
      <c r="B190" s="13"/>
      <c r="C190" s="13"/>
      <c r="D190" s="13"/>
      <c r="E190" s="13"/>
      <c r="F190" s="13"/>
      <c r="G190" s="16"/>
      <c r="H190" s="16"/>
      <c r="I190" s="16"/>
      <c r="J190" s="16"/>
      <c r="K190" s="22" t="str">
        <f t="shared" si="10"/>
        <v/>
      </c>
      <c r="L190" s="22" t="str">
        <f>IF(A190="","",SUMIF(Nyílászárók!$C$6:$C$205,A190,Nyílászárók!$I$6:$I$205))</f>
        <v/>
      </c>
      <c r="M190" s="22" t="str">
        <f t="shared" si="11"/>
        <v/>
      </c>
      <c r="N190" s="16"/>
      <c r="O190" s="16"/>
      <c r="P190" s="16"/>
      <c r="Q190" s="13"/>
      <c r="R190" s="13"/>
      <c r="S190" s="13"/>
      <c r="T190" s="13"/>
      <c r="U190" s="13"/>
    </row>
    <row r="191" spans="1:21" ht="20.100000000000001" customHeight="1">
      <c r="A191" s="13"/>
      <c r="B191" s="13"/>
      <c r="C191" s="13"/>
      <c r="D191" s="13"/>
      <c r="E191" s="13"/>
      <c r="F191" s="13"/>
      <c r="G191" s="16"/>
      <c r="H191" s="16"/>
      <c r="I191" s="16"/>
      <c r="J191" s="16"/>
      <c r="K191" s="22" t="str">
        <f t="shared" si="10"/>
        <v/>
      </c>
      <c r="L191" s="22" t="str">
        <f>IF(A191="","",SUMIF(Nyílászárók!$C$6:$C$205,A191,Nyílászárók!$I$6:$I$205))</f>
        <v/>
      </c>
      <c r="M191" s="22" t="str">
        <f t="shared" si="11"/>
        <v/>
      </c>
      <c r="N191" s="16"/>
      <c r="O191" s="16"/>
      <c r="P191" s="16"/>
      <c r="Q191" s="13"/>
      <c r="R191" s="13"/>
      <c r="S191" s="13"/>
      <c r="T191" s="13"/>
      <c r="U191" s="13"/>
    </row>
    <row r="192" spans="1:21" ht="20.100000000000001" customHeight="1">
      <c r="A192" s="13"/>
      <c r="B192" s="13"/>
      <c r="C192" s="13"/>
      <c r="D192" s="13"/>
      <c r="E192" s="13"/>
      <c r="F192" s="13"/>
      <c r="G192" s="16"/>
      <c r="H192" s="16"/>
      <c r="I192" s="16"/>
      <c r="J192" s="16"/>
      <c r="K192" s="22" t="str">
        <f t="shared" si="10"/>
        <v/>
      </c>
      <c r="L192" s="22" t="str">
        <f>IF(A192="","",SUMIF(Nyílászárók!$C$6:$C$205,A192,Nyílászárók!$I$6:$I$205))</f>
        <v/>
      </c>
      <c r="M192" s="22" t="str">
        <f t="shared" si="11"/>
        <v/>
      </c>
      <c r="N192" s="16"/>
      <c r="O192" s="16"/>
      <c r="P192" s="16"/>
      <c r="Q192" s="13"/>
      <c r="R192" s="13"/>
      <c r="S192" s="13"/>
      <c r="T192" s="13"/>
      <c r="U192" s="13"/>
    </row>
    <row r="193" spans="1:21" ht="20.100000000000001" customHeight="1">
      <c r="A193" s="13"/>
      <c r="B193" s="13"/>
      <c r="C193" s="13"/>
      <c r="D193" s="13"/>
      <c r="E193" s="13"/>
      <c r="F193" s="13"/>
      <c r="G193" s="16"/>
      <c r="H193" s="16"/>
      <c r="I193" s="16"/>
      <c r="J193" s="16"/>
      <c r="K193" s="22" t="str">
        <f t="shared" si="10"/>
        <v/>
      </c>
      <c r="L193" s="22" t="str">
        <f>IF(A193="","",SUMIF(Nyílászárók!$C$6:$C$205,A193,Nyílászárók!$I$6:$I$205))</f>
        <v/>
      </c>
      <c r="M193" s="22" t="str">
        <f t="shared" si="11"/>
        <v/>
      </c>
      <c r="N193" s="16"/>
      <c r="O193" s="16"/>
      <c r="P193" s="16"/>
      <c r="Q193" s="13"/>
      <c r="R193" s="13"/>
      <c r="S193" s="13"/>
      <c r="T193" s="13"/>
      <c r="U193" s="13"/>
    </row>
    <row r="194" spans="1:21" ht="20.100000000000001" customHeight="1">
      <c r="A194" s="13"/>
      <c r="B194" s="13"/>
      <c r="C194" s="13"/>
      <c r="D194" s="13"/>
      <c r="E194" s="13"/>
      <c r="F194" s="13"/>
      <c r="G194" s="16"/>
      <c r="H194" s="16"/>
      <c r="I194" s="16"/>
      <c r="J194" s="16"/>
      <c r="K194" s="22" t="str">
        <f t="shared" si="10"/>
        <v/>
      </c>
      <c r="L194" s="22" t="str">
        <f>IF(A194="","",SUMIF(Nyílászárók!$C$6:$C$205,A194,Nyílászárók!$I$6:$I$205))</f>
        <v/>
      </c>
      <c r="M194" s="22" t="str">
        <f t="shared" si="11"/>
        <v/>
      </c>
      <c r="N194" s="16"/>
      <c r="O194" s="16"/>
      <c r="P194" s="16"/>
      <c r="Q194" s="13"/>
      <c r="R194" s="13"/>
      <c r="S194" s="13"/>
      <c r="T194" s="13"/>
      <c r="U194" s="13"/>
    </row>
    <row r="195" spans="1:21" ht="20.100000000000001" customHeight="1">
      <c r="A195" s="13"/>
      <c r="B195" s="13"/>
      <c r="C195" s="13"/>
      <c r="D195" s="13"/>
      <c r="E195" s="13"/>
      <c r="F195" s="13"/>
      <c r="G195" s="16"/>
      <c r="H195" s="16"/>
      <c r="I195" s="16"/>
      <c r="J195" s="16"/>
      <c r="K195" s="22" t="str">
        <f t="shared" si="10"/>
        <v/>
      </c>
      <c r="L195" s="22" t="str">
        <f>IF(A195="","",SUMIF(Nyílászárók!$C$6:$C$205,A195,Nyílászárók!$I$6:$I$205))</f>
        <v/>
      </c>
      <c r="M195" s="22" t="str">
        <f t="shared" si="11"/>
        <v/>
      </c>
      <c r="N195" s="16"/>
      <c r="O195" s="16"/>
      <c r="P195" s="16"/>
      <c r="Q195" s="13"/>
      <c r="R195" s="13"/>
      <c r="S195" s="13"/>
      <c r="T195" s="13"/>
      <c r="U195" s="13"/>
    </row>
    <row r="196" spans="1:21" ht="20.100000000000001" customHeight="1">
      <c r="A196" s="13"/>
      <c r="B196" s="13"/>
      <c r="C196" s="13"/>
      <c r="D196" s="13"/>
      <c r="E196" s="13"/>
      <c r="F196" s="13"/>
      <c r="G196" s="16"/>
      <c r="H196" s="16"/>
      <c r="I196" s="16"/>
      <c r="J196" s="16"/>
      <c r="K196" s="22" t="str">
        <f t="shared" si="10"/>
        <v/>
      </c>
      <c r="L196" s="22" t="str">
        <f>IF(A196="","",SUMIF(Nyílászárók!$C$6:$C$205,A196,Nyílászárók!$I$6:$I$205))</f>
        <v/>
      </c>
      <c r="M196" s="22" t="str">
        <f t="shared" si="11"/>
        <v/>
      </c>
      <c r="N196" s="16"/>
      <c r="O196" s="16"/>
      <c r="P196" s="16"/>
      <c r="Q196" s="13"/>
      <c r="R196" s="13"/>
      <c r="S196" s="13"/>
      <c r="T196" s="13"/>
      <c r="U196" s="13"/>
    </row>
    <row r="197" spans="1:21" ht="20.100000000000001" customHeight="1">
      <c r="A197" s="13"/>
      <c r="B197" s="13"/>
      <c r="C197" s="13"/>
      <c r="D197" s="13"/>
      <c r="E197" s="13"/>
      <c r="F197" s="13"/>
      <c r="G197" s="16"/>
      <c r="H197" s="16"/>
      <c r="I197" s="16"/>
      <c r="J197" s="16"/>
      <c r="K197" s="22" t="str">
        <f t="shared" si="10"/>
        <v/>
      </c>
      <c r="L197" s="22" t="str">
        <f>IF(A197="","",SUMIF(Nyílászárók!$C$6:$C$205,A197,Nyílászárók!$I$6:$I$205))</f>
        <v/>
      </c>
      <c r="M197" s="22" t="str">
        <f t="shared" si="11"/>
        <v/>
      </c>
      <c r="N197" s="16"/>
      <c r="O197" s="16"/>
      <c r="P197" s="16"/>
      <c r="Q197" s="13"/>
      <c r="R197" s="13"/>
      <c r="S197" s="13"/>
      <c r="T197" s="13"/>
      <c r="U197" s="13"/>
    </row>
    <row r="198" spans="1:21" ht="20.100000000000001" customHeight="1">
      <c r="A198" s="13"/>
      <c r="B198" s="13"/>
      <c r="C198" s="13"/>
      <c r="D198" s="13"/>
      <c r="E198" s="13"/>
      <c r="F198" s="13"/>
      <c r="G198" s="16"/>
      <c r="H198" s="16"/>
      <c r="I198" s="16"/>
      <c r="J198" s="16"/>
      <c r="K198" s="22" t="str">
        <f t="shared" ref="K198:K229" si="12">IF(A198="","",IF(J198&lt;&gt;"",J198,IF(OR(H198="",I198=""),"",H198*I198)))</f>
        <v/>
      </c>
      <c r="L198" s="22" t="str">
        <f>IF(A198="","",SUMIF(Nyílászárók!$C$6:$C$205,A198,Nyílászárók!$I$6:$I$205))</f>
        <v/>
      </c>
      <c r="M198" s="22" t="str">
        <f t="shared" ref="M198:M229" si="13">IF(A198="","",IF(K198="","",K198-L198))</f>
        <v/>
      </c>
      <c r="N198" s="16"/>
      <c r="O198" s="16"/>
      <c r="P198" s="16"/>
      <c r="Q198" s="13"/>
      <c r="R198" s="13"/>
      <c r="S198" s="13"/>
      <c r="T198" s="13"/>
      <c r="U198" s="13"/>
    </row>
    <row r="199" spans="1:21" ht="20.100000000000001" customHeight="1">
      <c r="A199" s="13"/>
      <c r="B199" s="13"/>
      <c r="C199" s="13"/>
      <c r="D199" s="13"/>
      <c r="E199" s="13"/>
      <c r="F199" s="13"/>
      <c r="G199" s="16"/>
      <c r="H199" s="16"/>
      <c r="I199" s="16"/>
      <c r="J199" s="16"/>
      <c r="K199" s="22" t="str">
        <f t="shared" si="12"/>
        <v/>
      </c>
      <c r="L199" s="22" t="str">
        <f>IF(A199="","",SUMIF(Nyílászárók!$C$6:$C$205,A199,Nyílászárók!$I$6:$I$205))</f>
        <v/>
      </c>
      <c r="M199" s="22" t="str">
        <f t="shared" si="13"/>
        <v/>
      </c>
      <c r="N199" s="16"/>
      <c r="O199" s="16"/>
      <c r="P199" s="16"/>
      <c r="Q199" s="13"/>
      <c r="R199" s="13"/>
      <c r="S199" s="13"/>
      <c r="T199" s="13"/>
      <c r="U199" s="13"/>
    </row>
    <row r="200" spans="1:21" ht="20.100000000000001" customHeight="1">
      <c r="A200" s="13"/>
      <c r="B200" s="13"/>
      <c r="C200" s="13"/>
      <c r="D200" s="13"/>
      <c r="E200" s="13"/>
      <c r="F200" s="13"/>
      <c r="G200" s="16"/>
      <c r="H200" s="16"/>
      <c r="I200" s="16"/>
      <c r="J200" s="16"/>
      <c r="K200" s="22" t="str">
        <f t="shared" si="12"/>
        <v/>
      </c>
      <c r="L200" s="22" t="str">
        <f>IF(A200="","",SUMIF(Nyílászárók!$C$6:$C$205,A200,Nyílászárók!$I$6:$I$205))</f>
        <v/>
      </c>
      <c r="M200" s="22" t="str">
        <f t="shared" si="13"/>
        <v/>
      </c>
      <c r="N200" s="16"/>
      <c r="O200" s="16"/>
      <c r="P200" s="16"/>
      <c r="Q200" s="13"/>
      <c r="R200" s="13"/>
      <c r="S200" s="13"/>
      <c r="T200" s="13"/>
      <c r="U200" s="13"/>
    </row>
    <row r="201" spans="1:21" ht="20.100000000000001" customHeight="1">
      <c r="A201" s="13"/>
      <c r="B201" s="13"/>
      <c r="C201" s="13"/>
      <c r="D201" s="13"/>
      <c r="E201" s="13"/>
      <c r="F201" s="13"/>
      <c r="G201" s="16"/>
      <c r="H201" s="16"/>
      <c r="I201" s="16"/>
      <c r="J201" s="16"/>
      <c r="K201" s="22" t="str">
        <f t="shared" si="12"/>
        <v/>
      </c>
      <c r="L201" s="22" t="str">
        <f>IF(A201="","",SUMIF(Nyílászárók!$C$6:$C$205,A201,Nyílászárók!$I$6:$I$205))</f>
        <v/>
      </c>
      <c r="M201" s="22" t="str">
        <f t="shared" si="13"/>
        <v/>
      </c>
      <c r="N201" s="16"/>
      <c r="O201" s="16"/>
      <c r="P201" s="16"/>
      <c r="Q201" s="13"/>
      <c r="R201" s="13"/>
      <c r="S201" s="13"/>
      <c r="T201" s="13"/>
      <c r="U201" s="13"/>
    </row>
    <row r="202" spans="1:21" ht="20.100000000000001" customHeight="1">
      <c r="A202" s="13"/>
      <c r="B202" s="13"/>
      <c r="C202" s="13"/>
      <c r="D202" s="13"/>
      <c r="E202" s="13"/>
      <c r="F202" s="13"/>
      <c r="G202" s="16"/>
      <c r="H202" s="16"/>
      <c r="I202" s="16"/>
      <c r="J202" s="16"/>
      <c r="K202" s="22" t="str">
        <f t="shared" si="12"/>
        <v/>
      </c>
      <c r="L202" s="22" t="str">
        <f>IF(A202="","",SUMIF(Nyílászárók!$C$6:$C$205,A202,Nyílászárók!$I$6:$I$205))</f>
        <v/>
      </c>
      <c r="M202" s="22" t="str">
        <f t="shared" si="13"/>
        <v/>
      </c>
      <c r="N202" s="16"/>
      <c r="O202" s="16"/>
      <c r="P202" s="16"/>
      <c r="Q202" s="13"/>
      <c r="R202" s="13"/>
      <c r="S202" s="13"/>
      <c r="T202" s="13"/>
      <c r="U202" s="13"/>
    </row>
    <row r="203" spans="1:21" ht="20.100000000000001" customHeight="1">
      <c r="A203" s="13"/>
      <c r="B203" s="13"/>
      <c r="C203" s="13"/>
      <c r="D203" s="13"/>
      <c r="E203" s="13"/>
      <c r="F203" s="13"/>
      <c r="G203" s="16"/>
      <c r="H203" s="16"/>
      <c r="I203" s="16"/>
      <c r="J203" s="16"/>
      <c r="K203" s="22" t="str">
        <f t="shared" si="12"/>
        <v/>
      </c>
      <c r="L203" s="22" t="str">
        <f>IF(A203="","",SUMIF(Nyílászárók!$C$6:$C$205,A203,Nyílászárók!$I$6:$I$205))</f>
        <v/>
      </c>
      <c r="M203" s="22" t="str">
        <f t="shared" si="13"/>
        <v/>
      </c>
      <c r="N203" s="16"/>
      <c r="O203" s="16"/>
      <c r="P203" s="16"/>
      <c r="Q203" s="13"/>
      <c r="R203" s="13"/>
      <c r="S203" s="13"/>
      <c r="T203" s="13"/>
      <c r="U203" s="13"/>
    </row>
    <row r="204" spans="1:21" ht="20.100000000000001" customHeight="1">
      <c r="A204" s="13"/>
      <c r="B204" s="13"/>
      <c r="C204" s="13"/>
      <c r="D204" s="13"/>
      <c r="E204" s="13"/>
      <c r="F204" s="13"/>
      <c r="G204" s="16"/>
      <c r="H204" s="16"/>
      <c r="I204" s="16"/>
      <c r="J204" s="16"/>
      <c r="K204" s="22" t="str">
        <f t="shared" si="12"/>
        <v/>
      </c>
      <c r="L204" s="22" t="str">
        <f>IF(A204="","",SUMIF(Nyílászárók!$C$6:$C$205,A204,Nyílászárók!$I$6:$I$205))</f>
        <v/>
      </c>
      <c r="M204" s="22" t="str">
        <f t="shared" si="13"/>
        <v/>
      </c>
      <c r="N204" s="16"/>
      <c r="O204" s="16"/>
      <c r="P204" s="16"/>
      <c r="Q204" s="13"/>
      <c r="R204" s="13"/>
      <c r="S204" s="13"/>
      <c r="T204" s="13"/>
      <c r="U204" s="13"/>
    </row>
    <row r="205" spans="1:21" ht="20.100000000000001" customHeight="1">
      <c r="A205" s="14"/>
      <c r="B205" s="14"/>
      <c r="C205" s="14"/>
      <c r="D205" s="14"/>
      <c r="E205" s="14"/>
      <c r="F205" s="14"/>
      <c r="G205" s="17"/>
      <c r="H205" s="17"/>
      <c r="I205" s="17"/>
      <c r="J205" s="17"/>
      <c r="K205" s="22" t="str">
        <f t="shared" si="12"/>
        <v/>
      </c>
      <c r="L205" s="22" t="str">
        <f>IF(A205="","",SUMIF(Nyílászárók!$C$6:$C$205,A205,Nyílászárók!$I$6:$I$205))</f>
        <v/>
      </c>
      <c r="M205" s="22" t="str">
        <f t="shared" si="13"/>
        <v/>
      </c>
      <c r="N205" s="17"/>
      <c r="O205" s="17"/>
      <c r="P205" s="17"/>
      <c r="Q205" s="14"/>
      <c r="R205" s="14"/>
      <c r="S205" s="14"/>
      <c r="T205" s="14"/>
      <c r="U205" s="14"/>
    </row>
  </sheetData>
  <conditionalFormatting sqref="M6:M205">
    <cfRule type="cellIs" dxfId="1" priority="1" operator="less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500-000000000000}">
          <x14:formula1>
            <xm:f>Listák!$C$2:$C$8</xm:f>
          </x14:formula1>
          <xm:sqref>D6:D205</xm:sqref>
        </x14:dataValidation>
        <x14:dataValidation type="list" xr:uid="{00000000-0002-0000-0500-000001000000}">
          <x14:formula1>
            <xm:f>Listák!$D$2:$D$9</xm:f>
          </x14:formula1>
          <xm:sqref>E6:E205</xm:sqref>
        </x14:dataValidation>
        <x14:dataValidation type="list" xr:uid="{00000000-0002-0000-0500-000002000000}">
          <x14:formula1>
            <xm:f>Listák!$H$2:$H$5</xm:f>
          </x14:formula1>
          <xm:sqref>Q6:Q205</xm:sqref>
        </x14:dataValidation>
        <x14:dataValidation type="list" xr:uid="{00000000-0002-0000-0500-000003000000}">
          <x14:formula1>
            <xm:f>Listák!$I$2:$I$4</xm:f>
          </x14:formula1>
          <xm:sqref>T6:T205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2:U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4" width="18" customWidth="1"/>
    <col min="5" max="5" width="16" customWidth="1"/>
    <col min="6" max="7" width="14" customWidth="1"/>
    <col min="8" max="8" width="12" customWidth="1"/>
    <col min="9" max="9" width="16" customWidth="1"/>
    <col min="10" max="10" width="14" customWidth="1"/>
    <col min="11" max="11" width="20" customWidth="1"/>
    <col min="12" max="12" width="16" customWidth="1"/>
    <col min="13" max="14" width="25" customWidth="1"/>
    <col min="15" max="15" width="15" customWidth="1"/>
    <col min="16" max="16" width="34" customWidth="1"/>
  </cols>
  <sheetData>
    <row r="2" spans="1:21" ht="19.5">
      <c r="A2" s="2" t="s">
        <v>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>
      <c r="A3" s="3" t="s">
        <v>92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5" spans="1:21" ht="42" customHeight="1">
      <c r="A5" s="9" t="s">
        <v>93</v>
      </c>
      <c r="B5" s="10" t="s">
        <v>66</v>
      </c>
      <c r="C5" s="10" t="s">
        <v>77</v>
      </c>
      <c r="D5" s="10" t="s">
        <v>39</v>
      </c>
      <c r="E5" s="10" t="s">
        <v>94</v>
      </c>
      <c r="F5" s="10" t="s">
        <v>95</v>
      </c>
      <c r="G5" s="10" t="s">
        <v>83</v>
      </c>
      <c r="H5" s="10" t="s">
        <v>96</v>
      </c>
      <c r="I5" s="10" t="s">
        <v>97</v>
      </c>
      <c r="J5" s="10" t="s">
        <v>81</v>
      </c>
      <c r="K5" s="10" t="s">
        <v>98</v>
      </c>
      <c r="L5" s="10" t="s">
        <v>49</v>
      </c>
      <c r="M5" s="10" t="s">
        <v>50</v>
      </c>
      <c r="N5" s="10" t="s">
        <v>51</v>
      </c>
      <c r="O5" s="10" t="s">
        <v>91</v>
      </c>
      <c r="P5" s="11" t="s">
        <v>37</v>
      </c>
    </row>
    <row r="6" spans="1:21" ht="20.100000000000001" customHeight="1">
      <c r="A6" s="12"/>
      <c r="B6" s="12"/>
      <c r="C6" s="12"/>
      <c r="D6" s="12"/>
      <c r="E6" s="12"/>
      <c r="F6" s="15"/>
      <c r="G6" s="15"/>
      <c r="H6" s="15"/>
      <c r="I6" s="22" t="str">
        <f t="shared" ref="I6:I37" si="0">IF(A6="","",IF(OR(F6="",G6="",H6=""),"",F6*G6*H6))</f>
        <v/>
      </c>
      <c r="J6" s="15"/>
      <c r="K6" s="12"/>
      <c r="L6" s="12"/>
      <c r="M6" s="12"/>
      <c r="N6" s="12"/>
      <c r="O6" s="12"/>
      <c r="P6" s="12"/>
      <c r="Q6" s="31"/>
      <c r="R6" s="31"/>
      <c r="S6" s="31"/>
      <c r="T6" s="31"/>
      <c r="U6" s="31"/>
    </row>
    <row r="7" spans="1:21" ht="20.100000000000001" customHeight="1">
      <c r="A7" s="13"/>
      <c r="B7" s="13"/>
      <c r="C7" s="13"/>
      <c r="D7" s="13"/>
      <c r="E7" s="13"/>
      <c r="F7" s="16"/>
      <c r="G7" s="16"/>
      <c r="H7" s="16"/>
      <c r="I7" s="22" t="str">
        <f t="shared" si="0"/>
        <v/>
      </c>
      <c r="J7" s="16"/>
      <c r="K7" s="13"/>
      <c r="L7" s="13"/>
      <c r="M7" s="13"/>
      <c r="N7" s="13"/>
      <c r="O7" s="13"/>
      <c r="P7" s="13"/>
      <c r="Q7" s="31"/>
      <c r="R7" s="31"/>
      <c r="S7" s="31"/>
      <c r="T7" s="31"/>
      <c r="U7" s="31"/>
    </row>
    <row r="8" spans="1:21" ht="20.100000000000001" customHeight="1">
      <c r="A8" s="13"/>
      <c r="B8" s="13"/>
      <c r="C8" s="13"/>
      <c r="D8" s="13"/>
      <c r="E8" s="13"/>
      <c r="F8" s="16"/>
      <c r="G8" s="16"/>
      <c r="H8" s="16"/>
      <c r="I8" s="22" t="str">
        <f t="shared" si="0"/>
        <v/>
      </c>
      <c r="J8" s="16"/>
      <c r="K8" s="13"/>
      <c r="L8" s="13"/>
      <c r="M8" s="13"/>
      <c r="N8" s="13"/>
      <c r="O8" s="13"/>
      <c r="P8" s="13"/>
      <c r="Q8" s="31"/>
      <c r="R8" s="31"/>
      <c r="S8" s="31"/>
      <c r="T8" s="31"/>
      <c r="U8" s="31"/>
    </row>
    <row r="9" spans="1:21" ht="20.100000000000001" customHeight="1">
      <c r="A9" s="13"/>
      <c r="B9" s="13"/>
      <c r="C9" s="13"/>
      <c r="D9" s="13"/>
      <c r="E9" s="13"/>
      <c r="F9" s="16"/>
      <c r="G9" s="16"/>
      <c r="H9" s="16"/>
      <c r="I9" s="22" t="str">
        <f t="shared" si="0"/>
        <v/>
      </c>
      <c r="J9" s="16"/>
      <c r="K9" s="13"/>
      <c r="L9" s="13"/>
      <c r="M9" s="13"/>
      <c r="N9" s="13"/>
      <c r="O9" s="13"/>
      <c r="P9" s="13"/>
      <c r="Q9" s="31"/>
      <c r="R9" s="31"/>
      <c r="S9" s="31"/>
      <c r="T9" s="31"/>
      <c r="U9" s="31"/>
    </row>
    <row r="10" spans="1:21" ht="20.100000000000001" customHeight="1">
      <c r="A10" s="13"/>
      <c r="B10" s="13"/>
      <c r="C10" s="13"/>
      <c r="D10" s="13"/>
      <c r="E10" s="13"/>
      <c r="F10" s="16"/>
      <c r="G10" s="16"/>
      <c r="H10" s="16"/>
      <c r="I10" s="22" t="str">
        <f t="shared" si="0"/>
        <v/>
      </c>
      <c r="J10" s="16"/>
      <c r="K10" s="13"/>
      <c r="L10" s="13"/>
      <c r="M10" s="13"/>
      <c r="N10" s="13"/>
      <c r="O10" s="13"/>
      <c r="P10" s="13"/>
      <c r="Q10" s="31"/>
      <c r="R10" s="31"/>
      <c r="S10" s="31"/>
      <c r="T10" s="31"/>
      <c r="U10" s="31"/>
    </row>
    <row r="11" spans="1:21" ht="20.100000000000001" customHeight="1">
      <c r="A11" s="13"/>
      <c r="B11" s="13"/>
      <c r="C11" s="13"/>
      <c r="D11" s="13"/>
      <c r="E11" s="13"/>
      <c r="F11" s="16"/>
      <c r="G11" s="16"/>
      <c r="H11" s="16"/>
      <c r="I11" s="22" t="str">
        <f t="shared" si="0"/>
        <v/>
      </c>
      <c r="J11" s="16"/>
      <c r="K11" s="13"/>
      <c r="L11" s="13"/>
      <c r="M11" s="13"/>
      <c r="N11" s="13"/>
      <c r="O11" s="13"/>
      <c r="P11" s="13"/>
      <c r="Q11" s="31"/>
      <c r="R11" s="31"/>
      <c r="S11" s="31"/>
      <c r="T11" s="31"/>
      <c r="U11" s="31"/>
    </row>
    <row r="12" spans="1:21" ht="20.100000000000001" customHeight="1">
      <c r="A12" s="13"/>
      <c r="B12" s="13"/>
      <c r="C12" s="13"/>
      <c r="D12" s="13"/>
      <c r="E12" s="13"/>
      <c r="F12" s="16"/>
      <c r="G12" s="16"/>
      <c r="H12" s="16"/>
      <c r="I12" s="22" t="str">
        <f t="shared" si="0"/>
        <v/>
      </c>
      <c r="J12" s="16"/>
      <c r="K12" s="13"/>
      <c r="L12" s="13"/>
      <c r="M12" s="13"/>
      <c r="N12" s="13"/>
      <c r="O12" s="13"/>
      <c r="P12" s="13"/>
      <c r="Q12" s="31"/>
      <c r="R12" s="31"/>
      <c r="S12" s="31"/>
      <c r="T12" s="31"/>
      <c r="U12" s="31"/>
    </row>
    <row r="13" spans="1:21" ht="20.100000000000001" customHeight="1">
      <c r="A13" s="13"/>
      <c r="B13" s="13"/>
      <c r="C13" s="13"/>
      <c r="D13" s="13"/>
      <c r="E13" s="13"/>
      <c r="F13" s="16"/>
      <c r="G13" s="16"/>
      <c r="H13" s="16"/>
      <c r="I13" s="22" t="str">
        <f t="shared" si="0"/>
        <v/>
      </c>
      <c r="J13" s="16"/>
      <c r="K13" s="13"/>
      <c r="L13" s="13"/>
      <c r="M13" s="13"/>
      <c r="N13" s="13"/>
      <c r="O13" s="13"/>
      <c r="P13" s="13"/>
      <c r="Q13" s="31"/>
      <c r="R13" s="31"/>
      <c r="S13" s="31"/>
      <c r="T13" s="31"/>
      <c r="U13" s="31"/>
    </row>
    <row r="14" spans="1:21" ht="20.100000000000001" customHeight="1">
      <c r="A14" s="13"/>
      <c r="B14" s="13"/>
      <c r="C14" s="13"/>
      <c r="D14" s="13"/>
      <c r="E14" s="13"/>
      <c r="F14" s="16"/>
      <c r="G14" s="16"/>
      <c r="H14" s="16"/>
      <c r="I14" s="22" t="str">
        <f t="shared" si="0"/>
        <v/>
      </c>
      <c r="J14" s="16"/>
      <c r="K14" s="13"/>
      <c r="L14" s="13"/>
      <c r="M14" s="13"/>
      <c r="N14" s="13"/>
      <c r="O14" s="13"/>
      <c r="P14" s="13"/>
      <c r="Q14" s="31"/>
      <c r="R14" s="31"/>
      <c r="S14" s="31"/>
      <c r="T14" s="31"/>
      <c r="U14" s="31"/>
    </row>
    <row r="15" spans="1:21" ht="20.100000000000001" customHeight="1">
      <c r="A15" s="13"/>
      <c r="B15" s="13"/>
      <c r="C15" s="13"/>
      <c r="D15" s="13"/>
      <c r="E15" s="13"/>
      <c r="F15" s="16"/>
      <c r="G15" s="16"/>
      <c r="H15" s="16"/>
      <c r="I15" s="22" t="str">
        <f t="shared" si="0"/>
        <v/>
      </c>
      <c r="J15" s="16"/>
      <c r="K15" s="13"/>
      <c r="L15" s="13"/>
      <c r="M15" s="13"/>
      <c r="N15" s="13"/>
      <c r="O15" s="13"/>
      <c r="P15" s="13"/>
      <c r="Q15" s="31"/>
      <c r="R15" s="31"/>
      <c r="S15" s="31"/>
      <c r="T15" s="31"/>
      <c r="U15" s="31"/>
    </row>
    <row r="16" spans="1:21" ht="20.100000000000001" customHeight="1">
      <c r="A16" s="13"/>
      <c r="B16" s="13"/>
      <c r="C16" s="13"/>
      <c r="D16" s="13"/>
      <c r="E16" s="13"/>
      <c r="F16" s="16"/>
      <c r="G16" s="16"/>
      <c r="H16" s="16"/>
      <c r="I16" s="22" t="str">
        <f t="shared" si="0"/>
        <v/>
      </c>
      <c r="J16" s="16"/>
      <c r="K16" s="13"/>
      <c r="L16" s="13"/>
      <c r="M16" s="13"/>
      <c r="N16" s="13"/>
      <c r="O16" s="13"/>
      <c r="P16" s="13"/>
      <c r="Q16" s="31"/>
      <c r="R16" s="31"/>
      <c r="S16" s="31"/>
      <c r="T16" s="31"/>
      <c r="U16" s="31"/>
    </row>
    <row r="17" spans="1:21" ht="20.100000000000001" customHeight="1">
      <c r="A17" s="13"/>
      <c r="B17" s="13"/>
      <c r="C17" s="13"/>
      <c r="D17" s="13"/>
      <c r="E17" s="13"/>
      <c r="F17" s="16"/>
      <c r="G17" s="16"/>
      <c r="H17" s="16"/>
      <c r="I17" s="22" t="str">
        <f t="shared" si="0"/>
        <v/>
      </c>
      <c r="J17" s="16"/>
      <c r="K17" s="13"/>
      <c r="L17" s="13"/>
      <c r="M17" s="13"/>
      <c r="N17" s="13"/>
      <c r="O17" s="13"/>
      <c r="P17" s="13"/>
      <c r="Q17" s="31"/>
      <c r="R17" s="31"/>
      <c r="S17" s="31"/>
      <c r="T17" s="31"/>
      <c r="U17" s="31"/>
    </row>
    <row r="18" spans="1:21" ht="20.100000000000001" customHeight="1">
      <c r="A18" s="13"/>
      <c r="B18" s="13"/>
      <c r="C18" s="13"/>
      <c r="D18" s="13"/>
      <c r="E18" s="13"/>
      <c r="F18" s="16"/>
      <c r="G18" s="16"/>
      <c r="H18" s="16"/>
      <c r="I18" s="22" t="str">
        <f t="shared" si="0"/>
        <v/>
      </c>
      <c r="J18" s="16"/>
      <c r="K18" s="13"/>
      <c r="L18" s="13"/>
      <c r="M18" s="13"/>
      <c r="N18" s="13"/>
      <c r="O18" s="13"/>
      <c r="P18" s="13"/>
      <c r="Q18" s="31"/>
      <c r="R18" s="31"/>
      <c r="S18" s="31"/>
      <c r="T18" s="31"/>
      <c r="U18" s="31"/>
    </row>
    <row r="19" spans="1:21" ht="20.100000000000001" customHeight="1">
      <c r="A19" s="13"/>
      <c r="B19" s="13"/>
      <c r="C19" s="13"/>
      <c r="D19" s="13"/>
      <c r="E19" s="13"/>
      <c r="F19" s="16"/>
      <c r="G19" s="16"/>
      <c r="H19" s="16"/>
      <c r="I19" s="22" t="str">
        <f t="shared" si="0"/>
        <v/>
      </c>
      <c r="J19" s="16"/>
      <c r="K19" s="13"/>
      <c r="L19" s="13"/>
      <c r="M19" s="13"/>
      <c r="N19" s="13"/>
      <c r="O19" s="13"/>
      <c r="P19" s="13"/>
      <c r="Q19" s="31"/>
      <c r="R19" s="31"/>
      <c r="S19" s="31"/>
      <c r="T19" s="31"/>
      <c r="U19" s="31"/>
    </row>
    <row r="20" spans="1:21" ht="20.100000000000001" customHeight="1">
      <c r="A20" s="13"/>
      <c r="B20" s="13"/>
      <c r="C20" s="13"/>
      <c r="D20" s="13"/>
      <c r="E20" s="13"/>
      <c r="F20" s="16"/>
      <c r="G20" s="16"/>
      <c r="H20" s="16"/>
      <c r="I20" s="22" t="str">
        <f t="shared" si="0"/>
        <v/>
      </c>
      <c r="J20" s="16"/>
      <c r="K20" s="13"/>
      <c r="L20" s="13"/>
      <c r="M20" s="13"/>
      <c r="N20" s="13"/>
      <c r="O20" s="13"/>
      <c r="P20" s="13"/>
      <c r="Q20" s="31"/>
      <c r="R20" s="31"/>
      <c r="S20" s="31"/>
      <c r="T20" s="31"/>
      <c r="U20" s="31"/>
    </row>
    <row r="21" spans="1:21" ht="20.100000000000001" customHeight="1">
      <c r="A21" s="13"/>
      <c r="B21" s="13"/>
      <c r="C21" s="13"/>
      <c r="D21" s="13"/>
      <c r="E21" s="13"/>
      <c r="F21" s="16"/>
      <c r="G21" s="16"/>
      <c r="H21" s="16"/>
      <c r="I21" s="22" t="str">
        <f t="shared" si="0"/>
        <v/>
      </c>
      <c r="J21" s="16"/>
      <c r="K21" s="13"/>
      <c r="L21" s="13"/>
      <c r="M21" s="13"/>
      <c r="N21" s="13"/>
      <c r="O21" s="13"/>
      <c r="P21" s="13"/>
      <c r="Q21" s="31"/>
      <c r="R21" s="31"/>
      <c r="S21" s="31"/>
      <c r="T21" s="31"/>
      <c r="U21" s="31"/>
    </row>
    <row r="22" spans="1:21" ht="20.100000000000001" customHeight="1">
      <c r="A22" s="13"/>
      <c r="B22" s="13"/>
      <c r="C22" s="13"/>
      <c r="D22" s="13"/>
      <c r="E22" s="13"/>
      <c r="F22" s="16"/>
      <c r="G22" s="16"/>
      <c r="H22" s="16"/>
      <c r="I22" s="22" t="str">
        <f t="shared" si="0"/>
        <v/>
      </c>
      <c r="J22" s="16"/>
      <c r="K22" s="13"/>
      <c r="L22" s="13"/>
      <c r="M22" s="13"/>
      <c r="N22" s="13"/>
      <c r="O22" s="13"/>
      <c r="P22" s="13"/>
      <c r="Q22" s="31"/>
      <c r="R22" s="31"/>
      <c r="S22" s="31"/>
      <c r="T22" s="31"/>
      <c r="U22" s="31"/>
    </row>
    <row r="23" spans="1:21" ht="20.100000000000001" customHeight="1">
      <c r="A23" s="13"/>
      <c r="B23" s="13"/>
      <c r="C23" s="13"/>
      <c r="D23" s="13"/>
      <c r="E23" s="13"/>
      <c r="F23" s="16"/>
      <c r="G23" s="16"/>
      <c r="H23" s="16"/>
      <c r="I23" s="22" t="str">
        <f t="shared" si="0"/>
        <v/>
      </c>
      <c r="J23" s="16"/>
      <c r="K23" s="13"/>
      <c r="L23" s="13"/>
      <c r="M23" s="13"/>
      <c r="N23" s="13"/>
      <c r="O23" s="13"/>
      <c r="P23" s="13"/>
      <c r="Q23" s="31"/>
      <c r="R23" s="31"/>
      <c r="S23" s="31"/>
      <c r="T23" s="31"/>
      <c r="U23" s="31"/>
    </row>
    <row r="24" spans="1:21" ht="20.100000000000001" customHeight="1">
      <c r="A24" s="13"/>
      <c r="B24" s="13"/>
      <c r="C24" s="13"/>
      <c r="D24" s="13"/>
      <c r="E24" s="13"/>
      <c r="F24" s="16"/>
      <c r="G24" s="16"/>
      <c r="H24" s="16"/>
      <c r="I24" s="22" t="str">
        <f t="shared" si="0"/>
        <v/>
      </c>
      <c r="J24" s="16"/>
      <c r="K24" s="13"/>
      <c r="L24" s="13"/>
      <c r="M24" s="13"/>
      <c r="N24" s="13"/>
      <c r="O24" s="13"/>
      <c r="P24" s="13"/>
      <c r="Q24" s="31"/>
      <c r="R24" s="31"/>
      <c r="S24" s="31"/>
      <c r="T24" s="31"/>
      <c r="U24" s="31"/>
    </row>
    <row r="25" spans="1:21" ht="20.100000000000001" customHeight="1">
      <c r="A25" s="13"/>
      <c r="B25" s="13"/>
      <c r="C25" s="13"/>
      <c r="D25" s="13"/>
      <c r="E25" s="13"/>
      <c r="F25" s="16"/>
      <c r="G25" s="16"/>
      <c r="H25" s="16"/>
      <c r="I25" s="22" t="str">
        <f t="shared" si="0"/>
        <v/>
      </c>
      <c r="J25" s="16"/>
      <c r="K25" s="13"/>
      <c r="L25" s="13"/>
      <c r="M25" s="13"/>
      <c r="N25" s="13"/>
      <c r="O25" s="13"/>
      <c r="P25" s="13"/>
      <c r="Q25" s="31"/>
      <c r="R25" s="31"/>
      <c r="S25" s="31"/>
      <c r="T25" s="31"/>
      <c r="U25" s="31"/>
    </row>
    <row r="26" spans="1:21" ht="20.100000000000001" customHeight="1">
      <c r="A26" s="13"/>
      <c r="B26" s="13"/>
      <c r="C26" s="13"/>
      <c r="D26" s="13"/>
      <c r="E26" s="13"/>
      <c r="F26" s="16"/>
      <c r="G26" s="16"/>
      <c r="H26" s="16"/>
      <c r="I26" s="22" t="str">
        <f t="shared" si="0"/>
        <v/>
      </c>
      <c r="J26" s="16"/>
      <c r="K26" s="13"/>
      <c r="L26" s="13"/>
      <c r="M26" s="13"/>
      <c r="N26" s="13"/>
      <c r="O26" s="13"/>
      <c r="P26" s="13"/>
      <c r="Q26" s="31"/>
      <c r="R26" s="31"/>
      <c r="S26" s="31"/>
      <c r="T26" s="31"/>
      <c r="U26" s="31"/>
    </row>
    <row r="27" spans="1:21" ht="20.100000000000001" customHeight="1">
      <c r="A27" s="13"/>
      <c r="B27" s="13"/>
      <c r="C27" s="13"/>
      <c r="D27" s="13"/>
      <c r="E27" s="13"/>
      <c r="F27" s="16"/>
      <c r="G27" s="16"/>
      <c r="H27" s="16"/>
      <c r="I27" s="22" t="str">
        <f t="shared" si="0"/>
        <v/>
      </c>
      <c r="J27" s="16"/>
      <c r="K27" s="13"/>
      <c r="L27" s="13"/>
      <c r="M27" s="13"/>
      <c r="N27" s="13"/>
      <c r="O27" s="13"/>
      <c r="P27" s="13"/>
      <c r="Q27" s="31"/>
      <c r="R27" s="31"/>
      <c r="S27" s="31"/>
      <c r="T27" s="31"/>
      <c r="U27" s="31"/>
    </row>
    <row r="28" spans="1:21" ht="20.100000000000001" customHeight="1">
      <c r="A28" s="13"/>
      <c r="B28" s="13"/>
      <c r="C28" s="13"/>
      <c r="D28" s="13"/>
      <c r="E28" s="13"/>
      <c r="F28" s="16"/>
      <c r="G28" s="16"/>
      <c r="H28" s="16"/>
      <c r="I28" s="22" t="str">
        <f t="shared" si="0"/>
        <v/>
      </c>
      <c r="J28" s="16"/>
      <c r="K28" s="13"/>
      <c r="L28" s="13"/>
      <c r="M28" s="13"/>
      <c r="N28" s="13"/>
      <c r="O28" s="13"/>
      <c r="P28" s="13"/>
      <c r="Q28" s="31"/>
      <c r="R28" s="31"/>
      <c r="S28" s="31"/>
      <c r="T28" s="31"/>
      <c r="U28" s="31"/>
    </row>
    <row r="29" spans="1:21" ht="20.100000000000001" customHeight="1">
      <c r="A29" s="13"/>
      <c r="B29" s="13"/>
      <c r="C29" s="13"/>
      <c r="D29" s="13"/>
      <c r="E29" s="13"/>
      <c r="F29" s="16"/>
      <c r="G29" s="16"/>
      <c r="H29" s="16"/>
      <c r="I29" s="22" t="str">
        <f t="shared" si="0"/>
        <v/>
      </c>
      <c r="J29" s="16"/>
      <c r="K29" s="13"/>
      <c r="L29" s="13"/>
      <c r="M29" s="13"/>
      <c r="N29" s="13"/>
      <c r="O29" s="13"/>
      <c r="P29" s="13"/>
      <c r="Q29" s="31"/>
      <c r="R29" s="31"/>
      <c r="S29" s="31"/>
      <c r="T29" s="31"/>
      <c r="U29" s="31"/>
    </row>
    <row r="30" spans="1:21" ht="20.100000000000001" customHeight="1">
      <c r="A30" s="13"/>
      <c r="B30" s="13"/>
      <c r="C30" s="13"/>
      <c r="D30" s="13"/>
      <c r="E30" s="13"/>
      <c r="F30" s="16"/>
      <c r="G30" s="16"/>
      <c r="H30" s="16"/>
      <c r="I30" s="22" t="str">
        <f t="shared" si="0"/>
        <v/>
      </c>
      <c r="J30" s="16"/>
      <c r="K30" s="13"/>
      <c r="L30" s="13"/>
      <c r="M30" s="13"/>
      <c r="N30" s="13"/>
      <c r="O30" s="13"/>
      <c r="P30" s="13"/>
      <c r="Q30" s="31"/>
      <c r="R30" s="31"/>
      <c r="S30" s="31"/>
      <c r="T30" s="31"/>
      <c r="U30" s="31"/>
    </row>
    <row r="31" spans="1:21" ht="20.100000000000001" customHeight="1">
      <c r="A31" s="13"/>
      <c r="B31" s="13"/>
      <c r="C31" s="13"/>
      <c r="D31" s="13"/>
      <c r="E31" s="13"/>
      <c r="F31" s="16"/>
      <c r="G31" s="16"/>
      <c r="H31" s="16"/>
      <c r="I31" s="22" t="str">
        <f t="shared" si="0"/>
        <v/>
      </c>
      <c r="J31" s="16"/>
      <c r="K31" s="13"/>
      <c r="L31" s="13"/>
      <c r="M31" s="13"/>
      <c r="N31" s="13"/>
      <c r="O31" s="13"/>
      <c r="P31" s="13"/>
      <c r="Q31" s="31"/>
      <c r="R31" s="31"/>
      <c r="S31" s="31"/>
      <c r="T31" s="31"/>
      <c r="U31" s="31"/>
    </row>
    <row r="32" spans="1:21" ht="20.100000000000001" customHeight="1">
      <c r="A32" s="13"/>
      <c r="B32" s="13"/>
      <c r="C32" s="13"/>
      <c r="D32" s="13"/>
      <c r="E32" s="13"/>
      <c r="F32" s="16"/>
      <c r="G32" s="16"/>
      <c r="H32" s="16"/>
      <c r="I32" s="22" t="str">
        <f t="shared" si="0"/>
        <v/>
      </c>
      <c r="J32" s="16"/>
      <c r="K32" s="13"/>
      <c r="L32" s="13"/>
      <c r="M32" s="13"/>
      <c r="N32" s="13"/>
      <c r="O32" s="13"/>
      <c r="P32" s="13"/>
      <c r="Q32" s="31"/>
      <c r="R32" s="31"/>
      <c r="S32" s="31"/>
      <c r="T32" s="31"/>
      <c r="U32" s="31"/>
    </row>
    <row r="33" spans="1:21" ht="20.100000000000001" customHeight="1">
      <c r="A33" s="13"/>
      <c r="B33" s="13"/>
      <c r="C33" s="13"/>
      <c r="D33" s="13"/>
      <c r="E33" s="13"/>
      <c r="F33" s="16"/>
      <c r="G33" s="16"/>
      <c r="H33" s="16"/>
      <c r="I33" s="22" t="str">
        <f t="shared" si="0"/>
        <v/>
      </c>
      <c r="J33" s="16"/>
      <c r="K33" s="13"/>
      <c r="L33" s="13"/>
      <c r="M33" s="13"/>
      <c r="N33" s="13"/>
      <c r="O33" s="13"/>
      <c r="P33" s="13"/>
      <c r="Q33" s="31"/>
      <c r="R33" s="31"/>
      <c r="S33" s="31"/>
      <c r="T33" s="31"/>
      <c r="U33" s="31"/>
    </row>
    <row r="34" spans="1:21" ht="20.100000000000001" customHeight="1">
      <c r="A34" s="13"/>
      <c r="B34" s="13"/>
      <c r="C34" s="13"/>
      <c r="D34" s="13"/>
      <c r="E34" s="13"/>
      <c r="F34" s="16"/>
      <c r="G34" s="16"/>
      <c r="H34" s="16"/>
      <c r="I34" s="22" t="str">
        <f t="shared" si="0"/>
        <v/>
      </c>
      <c r="J34" s="16"/>
      <c r="K34" s="13"/>
      <c r="L34" s="13"/>
      <c r="M34" s="13"/>
      <c r="N34" s="13"/>
      <c r="O34" s="13"/>
      <c r="P34" s="13"/>
      <c r="Q34" s="31"/>
      <c r="R34" s="31"/>
      <c r="S34" s="31"/>
      <c r="T34" s="31"/>
      <c r="U34" s="31"/>
    </row>
    <row r="35" spans="1:21" ht="20.100000000000001" customHeight="1">
      <c r="A35" s="13"/>
      <c r="B35" s="13"/>
      <c r="C35" s="13"/>
      <c r="D35" s="13"/>
      <c r="E35" s="13"/>
      <c r="F35" s="16"/>
      <c r="G35" s="16"/>
      <c r="H35" s="16"/>
      <c r="I35" s="22" t="str">
        <f t="shared" si="0"/>
        <v/>
      </c>
      <c r="J35" s="16"/>
      <c r="K35" s="13"/>
      <c r="L35" s="13"/>
      <c r="M35" s="13"/>
      <c r="N35" s="13"/>
      <c r="O35" s="13"/>
      <c r="P35" s="13"/>
      <c r="Q35" s="31"/>
      <c r="R35" s="31"/>
      <c r="S35" s="31"/>
      <c r="T35" s="31"/>
      <c r="U35" s="31"/>
    </row>
    <row r="36" spans="1:21" ht="20.100000000000001" customHeight="1">
      <c r="A36" s="13"/>
      <c r="B36" s="13"/>
      <c r="C36" s="13"/>
      <c r="D36" s="13"/>
      <c r="E36" s="13"/>
      <c r="F36" s="16"/>
      <c r="G36" s="16"/>
      <c r="H36" s="16"/>
      <c r="I36" s="22" t="str">
        <f t="shared" si="0"/>
        <v/>
      </c>
      <c r="J36" s="16"/>
      <c r="K36" s="13"/>
      <c r="L36" s="13"/>
      <c r="M36" s="13"/>
      <c r="N36" s="13"/>
      <c r="O36" s="13"/>
      <c r="P36" s="13"/>
      <c r="Q36" s="31"/>
      <c r="R36" s="31"/>
      <c r="S36" s="31"/>
      <c r="T36" s="31"/>
      <c r="U36" s="31"/>
    </row>
    <row r="37" spans="1:21" ht="20.100000000000001" customHeight="1">
      <c r="A37" s="13"/>
      <c r="B37" s="13"/>
      <c r="C37" s="13"/>
      <c r="D37" s="13"/>
      <c r="E37" s="13"/>
      <c r="F37" s="16"/>
      <c r="G37" s="16"/>
      <c r="H37" s="16"/>
      <c r="I37" s="22" t="str">
        <f t="shared" si="0"/>
        <v/>
      </c>
      <c r="J37" s="16"/>
      <c r="K37" s="13"/>
      <c r="L37" s="13"/>
      <c r="M37" s="13"/>
      <c r="N37" s="13"/>
      <c r="O37" s="13"/>
      <c r="P37" s="13"/>
      <c r="Q37" s="31"/>
      <c r="R37" s="31"/>
      <c r="S37" s="31"/>
      <c r="T37" s="31"/>
      <c r="U37" s="31"/>
    </row>
    <row r="38" spans="1:21" ht="20.100000000000001" customHeight="1">
      <c r="A38" s="13"/>
      <c r="B38" s="13"/>
      <c r="C38" s="13"/>
      <c r="D38" s="13"/>
      <c r="E38" s="13"/>
      <c r="F38" s="16"/>
      <c r="G38" s="16"/>
      <c r="H38" s="16"/>
      <c r="I38" s="22" t="str">
        <f t="shared" ref="I38:I69" si="1">IF(A38="","",IF(OR(F38="",G38="",H38=""),"",F38*G38*H38))</f>
        <v/>
      </c>
      <c r="J38" s="16"/>
      <c r="K38" s="13"/>
      <c r="L38" s="13"/>
      <c r="M38" s="13"/>
      <c r="N38" s="13"/>
      <c r="O38" s="13"/>
      <c r="P38" s="13"/>
      <c r="Q38" s="31"/>
      <c r="R38" s="31"/>
      <c r="S38" s="31"/>
      <c r="T38" s="31"/>
      <c r="U38" s="31"/>
    </row>
    <row r="39" spans="1:21" ht="20.100000000000001" customHeight="1">
      <c r="A39" s="13"/>
      <c r="B39" s="13"/>
      <c r="C39" s="13"/>
      <c r="D39" s="13"/>
      <c r="E39" s="13"/>
      <c r="F39" s="16"/>
      <c r="G39" s="16"/>
      <c r="H39" s="16"/>
      <c r="I39" s="22" t="str">
        <f t="shared" si="1"/>
        <v/>
      </c>
      <c r="J39" s="16"/>
      <c r="K39" s="13"/>
      <c r="L39" s="13"/>
      <c r="M39" s="13"/>
      <c r="N39" s="13"/>
      <c r="O39" s="13"/>
      <c r="P39" s="13"/>
      <c r="Q39" s="31"/>
      <c r="R39" s="31"/>
      <c r="S39" s="31"/>
      <c r="T39" s="31"/>
      <c r="U39" s="31"/>
    </row>
    <row r="40" spans="1:21" ht="20.100000000000001" customHeight="1">
      <c r="A40" s="13"/>
      <c r="B40" s="13"/>
      <c r="C40" s="13"/>
      <c r="D40" s="13"/>
      <c r="E40" s="13"/>
      <c r="F40" s="16"/>
      <c r="G40" s="16"/>
      <c r="H40" s="16"/>
      <c r="I40" s="22" t="str">
        <f t="shared" si="1"/>
        <v/>
      </c>
      <c r="J40" s="16"/>
      <c r="K40" s="13"/>
      <c r="L40" s="13"/>
      <c r="M40" s="13"/>
      <c r="N40" s="13"/>
      <c r="O40" s="13"/>
      <c r="P40" s="13"/>
      <c r="Q40" s="31"/>
      <c r="R40" s="31"/>
      <c r="S40" s="31"/>
      <c r="T40" s="31"/>
      <c r="U40" s="31"/>
    </row>
    <row r="41" spans="1:21" ht="20.100000000000001" customHeight="1">
      <c r="A41" s="13"/>
      <c r="B41" s="13"/>
      <c r="C41" s="13"/>
      <c r="D41" s="13"/>
      <c r="E41" s="13"/>
      <c r="F41" s="16"/>
      <c r="G41" s="16"/>
      <c r="H41" s="16"/>
      <c r="I41" s="22" t="str">
        <f t="shared" si="1"/>
        <v/>
      </c>
      <c r="J41" s="16"/>
      <c r="K41" s="13"/>
      <c r="L41" s="13"/>
      <c r="M41" s="13"/>
      <c r="N41" s="13"/>
      <c r="O41" s="13"/>
      <c r="P41" s="13"/>
      <c r="Q41" s="31"/>
      <c r="R41" s="31"/>
      <c r="S41" s="31"/>
      <c r="T41" s="31"/>
      <c r="U41" s="31"/>
    </row>
    <row r="42" spans="1:21" ht="20.100000000000001" customHeight="1">
      <c r="A42" s="13"/>
      <c r="B42" s="13"/>
      <c r="C42" s="13"/>
      <c r="D42" s="13"/>
      <c r="E42" s="13"/>
      <c r="F42" s="16"/>
      <c r="G42" s="16"/>
      <c r="H42" s="16"/>
      <c r="I42" s="22" t="str">
        <f t="shared" si="1"/>
        <v/>
      </c>
      <c r="J42" s="16"/>
      <c r="K42" s="13"/>
      <c r="L42" s="13"/>
      <c r="M42" s="13"/>
      <c r="N42" s="13"/>
      <c r="O42" s="13"/>
      <c r="P42" s="13"/>
      <c r="Q42" s="31"/>
      <c r="R42" s="31"/>
      <c r="S42" s="31"/>
      <c r="T42" s="31"/>
      <c r="U42" s="31"/>
    </row>
    <row r="43" spans="1:21" ht="20.100000000000001" customHeight="1">
      <c r="A43" s="13"/>
      <c r="B43" s="13"/>
      <c r="C43" s="13"/>
      <c r="D43" s="13"/>
      <c r="E43" s="13"/>
      <c r="F43" s="16"/>
      <c r="G43" s="16"/>
      <c r="H43" s="16"/>
      <c r="I43" s="22" t="str">
        <f t="shared" si="1"/>
        <v/>
      </c>
      <c r="J43" s="16"/>
      <c r="K43" s="13"/>
      <c r="L43" s="13"/>
      <c r="M43" s="13"/>
      <c r="N43" s="13"/>
      <c r="O43" s="13"/>
      <c r="P43" s="13"/>
      <c r="Q43" s="31"/>
      <c r="R43" s="31"/>
      <c r="S43" s="31"/>
      <c r="T43" s="31"/>
      <c r="U43" s="31"/>
    </row>
    <row r="44" spans="1:21" ht="20.100000000000001" customHeight="1">
      <c r="A44" s="13"/>
      <c r="B44" s="13"/>
      <c r="C44" s="13"/>
      <c r="D44" s="13"/>
      <c r="E44" s="13"/>
      <c r="F44" s="16"/>
      <c r="G44" s="16"/>
      <c r="H44" s="16"/>
      <c r="I44" s="22" t="str">
        <f t="shared" si="1"/>
        <v/>
      </c>
      <c r="J44" s="16"/>
      <c r="K44" s="13"/>
      <c r="L44" s="13"/>
      <c r="M44" s="13"/>
      <c r="N44" s="13"/>
      <c r="O44" s="13"/>
      <c r="P44" s="13"/>
      <c r="Q44" s="31"/>
      <c r="R44" s="31"/>
      <c r="S44" s="31"/>
      <c r="T44" s="31"/>
      <c r="U44" s="31"/>
    </row>
    <row r="45" spans="1:21" ht="20.100000000000001" customHeight="1">
      <c r="A45" s="13"/>
      <c r="B45" s="13"/>
      <c r="C45" s="13"/>
      <c r="D45" s="13"/>
      <c r="E45" s="13"/>
      <c r="F45" s="16"/>
      <c r="G45" s="16"/>
      <c r="H45" s="16"/>
      <c r="I45" s="22" t="str">
        <f t="shared" si="1"/>
        <v/>
      </c>
      <c r="J45" s="16"/>
      <c r="K45" s="13"/>
      <c r="L45" s="13"/>
      <c r="M45" s="13"/>
      <c r="N45" s="13"/>
      <c r="O45" s="13"/>
      <c r="P45" s="13"/>
      <c r="Q45" s="31"/>
      <c r="R45" s="31"/>
      <c r="S45" s="31"/>
      <c r="T45" s="31"/>
      <c r="U45" s="31"/>
    </row>
    <row r="46" spans="1:21" ht="20.100000000000001" customHeight="1">
      <c r="A46" s="13"/>
      <c r="B46" s="13"/>
      <c r="C46" s="13"/>
      <c r="D46" s="13"/>
      <c r="E46" s="13"/>
      <c r="F46" s="16"/>
      <c r="G46" s="16"/>
      <c r="H46" s="16"/>
      <c r="I46" s="22" t="str">
        <f t="shared" si="1"/>
        <v/>
      </c>
      <c r="J46" s="16"/>
      <c r="K46" s="13"/>
      <c r="L46" s="13"/>
      <c r="M46" s="13"/>
      <c r="N46" s="13"/>
      <c r="O46" s="13"/>
      <c r="P46" s="13"/>
      <c r="Q46" s="31"/>
      <c r="R46" s="31"/>
      <c r="S46" s="31"/>
      <c r="T46" s="31"/>
      <c r="U46" s="31"/>
    </row>
    <row r="47" spans="1:21" ht="20.100000000000001" customHeight="1">
      <c r="A47" s="13"/>
      <c r="B47" s="13"/>
      <c r="C47" s="13"/>
      <c r="D47" s="13"/>
      <c r="E47" s="13"/>
      <c r="F47" s="16"/>
      <c r="G47" s="16"/>
      <c r="H47" s="16"/>
      <c r="I47" s="22" t="str">
        <f t="shared" si="1"/>
        <v/>
      </c>
      <c r="J47" s="16"/>
      <c r="K47" s="13"/>
      <c r="L47" s="13"/>
      <c r="M47" s="13"/>
      <c r="N47" s="13"/>
      <c r="O47" s="13"/>
      <c r="P47" s="13"/>
      <c r="Q47" s="31"/>
      <c r="R47" s="31"/>
      <c r="S47" s="31"/>
      <c r="T47" s="31"/>
      <c r="U47" s="31"/>
    </row>
    <row r="48" spans="1:21" ht="20.100000000000001" customHeight="1">
      <c r="A48" s="13"/>
      <c r="B48" s="13"/>
      <c r="C48" s="13"/>
      <c r="D48" s="13"/>
      <c r="E48" s="13"/>
      <c r="F48" s="16"/>
      <c r="G48" s="16"/>
      <c r="H48" s="16"/>
      <c r="I48" s="22" t="str">
        <f t="shared" si="1"/>
        <v/>
      </c>
      <c r="J48" s="16"/>
      <c r="K48" s="13"/>
      <c r="L48" s="13"/>
      <c r="M48" s="13"/>
      <c r="N48" s="13"/>
      <c r="O48" s="13"/>
      <c r="P48" s="13"/>
      <c r="Q48" s="31"/>
      <c r="R48" s="31"/>
      <c r="S48" s="31"/>
      <c r="T48" s="31"/>
      <c r="U48" s="31"/>
    </row>
    <row r="49" spans="1:21" ht="20.100000000000001" customHeight="1">
      <c r="A49" s="13"/>
      <c r="B49" s="13"/>
      <c r="C49" s="13"/>
      <c r="D49" s="13"/>
      <c r="E49" s="13"/>
      <c r="F49" s="16"/>
      <c r="G49" s="16"/>
      <c r="H49" s="16"/>
      <c r="I49" s="22" t="str">
        <f t="shared" si="1"/>
        <v/>
      </c>
      <c r="J49" s="16"/>
      <c r="K49" s="13"/>
      <c r="L49" s="13"/>
      <c r="M49" s="13"/>
      <c r="N49" s="13"/>
      <c r="O49" s="13"/>
      <c r="P49" s="13"/>
      <c r="Q49" s="31"/>
      <c r="R49" s="31"/>
      <c r="S49" s="31"/>
      <c r="T49" s="31"/>
      <c r="U49" s="31"/>
    </row>
    <row r="50" spans="1:21" ht="20.100000000000001" customHeight="1">
      <c r="A50" s="13"/>
      <c r="B50" s="13"/>
      <c r="C50" s="13"/>
      <c r="D50" s="13"/>
      <c r="E50" s="13"/>
      <c r="F50" s="16"/>
      <c r="G50" s="16"/>
      <c r="H50" s="16"/>
      <c r="I50" s="22" t="str">
        <f t="shared" si="1"/>
        <v/>
      </c>
      <c r="J50" s="16"/>
      <c r="K50" s="13"/>
      <c r="L50" s="13"/>
      <c r="M50" s="13"/>
      <c r="N50" s="13"/>
      <c r="O50" s="13"/>
      <c r="P50" s="13"/>
      <c r="Q50" s="31"/>
      <c r="R50" s="31"/>
      <c r="S50" s="31"/>
      <c r="T50" s="31"/>
      <c r="U50" s="31"/>
    </row>
    <row r="51" spans="1:21" ht="20.100000000000001" customHeight="1">
      <c r="A51" s="13"/>
      <c r="B51" s="13"/>
      <c r="C51" s="13"/>
      <c r="D51" s="13"/>
      <c r="E51" s="13"/>
      <c r="F51" s="16"/>
      <c r="G51" s="16"/>
      <c r="H51" s="16"/>
      <c r="I51" s="22" t="str">
        <f t="shared" si="1"/>
        <v/>
      </c>
      <c r="J51" s="16"/>
      <c r="K51" s="13"/>
      <c r="L51" s="13"/>
      <c r="M51" s="13"/>
      <c r="N51" s="13"/>
      <c r="O51" s="13"/>
      <c r="P51" s="13"/>
      <c r="Q51" s="31"/>
      <c r="R51" s="31"/>
      <c r="S51" s="31"/>
      <c r="T51" s="31"/>
      <c r="U51" s="31"/>
    </row>
    <row r="52" spans="1:21" ht="20.100000000000001" customHeight="1">
      <c r="A52" s="13"/>
      <c r="B52" s="13"/>
      <c r="C52" s="13"/>
      <c r="D52" s="13"/>
      <c r="E52" s="13"/>
      <c r="F52" s="16"/>
      <c r="G52" s="16"/>
      <c r="H52" s="16"/>
      <c r="I52" s="22" t="str">
        <f t="shared" si="1"/>
        <v/>
      </c>
      <c r="J52" s="16"/>
      <c r="K52" s="13"/>
      <c r="L52" s="13"/>
      <c r="M52" s="13"/>
      <c r="N52" s="13"/>
      <c r="O52" s="13"/>
      <c r="P52" s="13"/>
      <c r="Q52" s="31"/>
      <c r="R52" s="31"/>
      <c r="S52" s="31"/>
      <c r="T52" s="31"/>
      <c r="U52" s="31"/>
    </row>
    <row r="53" spans="1:21" ht="20.100000000000001" customHeight="1">
      <c r="A53" s="13"/>
      <c r="B53" s="13"/>
      <c r="C53" s="13"/>
      <c r="D53" s="13"/>
      <c r="E53" s="13"/>
      <c r="F53" s="16"/>
      <c r="G53" s="16"/>
      <c r="H53" s="16"/>
      <c r="I53" s="22" t="str">
        <f t="shared" si="1"/>
        <v/>
      </c>
      <c r="J53" s="16"/>
      <c r="K53" s="13"/>
      <c r="L53" s="13"/>
      <c r="M53" s="13"/>
      <c r="N53" s="13"/>
      <c r="O53" s="13"/>
      <c r="P53" s="13"/>
      <c r="Q53" s="31"/>
      <c r="R53" s="31"/>
      <c r="S53" s="31"/>
      <c r="T53" s="31"/>
      <c r="U53" s="31"/>
    </row>
    <row r="54" spans="1:21" ht="20.100000000000001" customHeight="1">
      <c r="A54" s="13"/>
      <c r="B54" s="13"/>
      <c r="C54" s="13"/>
      <c r="D54" s="13"/>
      <c r="E54" s="13"/>
      <c r="F54" s="16"/>
      <c r="G54" s="16"/>
      <c r="H54" s="16"/>
      <c r="I54" s="22" t="str">
        <f t="shared" si="1"/>
        <v/>
      </c>
      <c r="J54" s="16"/>
      <c r="K54" s="13"/>
      <c r="L54" s="13"/>
      <c r="M54" s="13"/>
      <c r="N54" s="13"/>
      <c r="O54" s="13"/>
      <c r="P54" s="13"/>
      <c r="Q54" s="31"/>
      <c r="R54" s="31"/>
      <c r="S54" s="31"/>
      <c r="T54" s="31"/>
      <c r="U54" s="31"/>
    </row>
    <row r="55" spans="1:21" ht="20.100000000000001" customHeight="1">
      <c r="A55" s="13"/>
      <c r="B55" s="13"/>
      <c r="C55" s="13"/>
      <c r="D55" s="13"/>
      <c r="E55" s="13"/>
      <c r="F55" s="16"/>
      <c r="G55" s="16"/>
      <c r="H55" s="16"/>
      <c r="I55" s="22" t="str">
        <f t="shared" si="1"/>
        <v/>
      </c>
      <c r="J55" s="16"/>
      <c r="K55" s="13"/>
      <c r="L55" s="13"/>
      <c r="M55" s="13"/>
      <c r="N55" s="13"/>
      <c r="O55" s="13"/>
      <c r="P55" s="13"/>
      <c r="Q55" s="31"/>
      <c r="R55" s="31"/>
      <c r="S55" s="31"/>
      <c r="T55" s="31"/>
      <c r="U55" s="31"/>
    </row>
    <row r="56" spans="1:21" ht="20.100000000000001" customHeight="1">
      <c r="A56" s="13"/>
      <c r="B56" s="13"/>
      <c r="C56" s="13"/>
      <c r="D56" s="13"/>
      <c r="E56" s="13"/>
      <c r="F56" s="16"/>
      <c r="G56" s="16"/>
      <c r="H56" s="16"/>
      <c r="I56" s="22" t="str">
        <f t="shared" si="1"/>
        <v/>
      </c>
      <c r="J56" s="16"/>
      <c r="K56" s="13"/>
      <c r="L56" s="13"/>
      <c r="M56" s="13"/>
      <c r="N56" s="13"/>
      <c r="O56" s="13"/>
      <c r="P56" s="13"/>
      <c r="Q56" s="31"/>
      <c r="R56" s="31"/>
      <c r="S56" s="31"/>
      <c r="T56" s="31"/>
      <c r="U56" s="31"/>
    </row>
    <row r="57" spans="1:21" ht="20.100000000000001" customHeight="1">
      <c r="A57" s="13"/>
      <c r="B57" s="13"/>
      <c r="C57" s="13"/>
      <c r="D57" s="13"/>
      <c r="E57" s="13"/>
      <c r="F57" s="16"/>
      <c r="G57" s="16"/>
      <c r="H57" s="16"/>
      <c r="I57" s="22" t="str">
        <f t="shared" si="1"/>
        <v/>
      </c>
      <c r="J57" s="16"/>
      <c r="K57" s="13"/>
      <c r="L57" s="13"/>
      <c r="M57" s="13"/>
      <c r="N57" s="13"/>
      <c r="O57" s="13"/>
      <c r="P57" s="13"/>
      <c r="Q57" s="31"/>
      <c r="R57" s="31"/>
      <c r="S57" s="31"/>
      <c r="T57" s="31"/>
      <c r="U57" s="31"/>
    </row>
    <row r="58" spans="1:21" ht="20.100000000000001" customHeight="1">
      <c r="A58" s="13"/>
      <c r="B58" s="13"/>
      <c r="C58" s="13"/>
      <c r="D58" s="13"/>
      <c r="E58" s="13"/>
      <c r="F58" s="16"/>
      <c r="G58" s="16"/>
      <c r="H58" s="16"/>
      <c r="I58" s="22" t="str">
        <f t="shared" si="1"/>
        <v/>
      </c>
      <c r="J58" s="16"/>
      <c r="K58" s="13"/>
      <c r="L58" s="13"/>
      <c r="M58" s="13"/>
      <c r="N58" s="13"/>
      <c r="O58" s="13"/>
      <c r="P58" s="13"/>
      <c r="Q58" s="31"/>
      <c r="R58" s="31"/>
      <c r="S58" s="31"/>
      <c r="T58" s="31"/>
      <c r="U58" s="31"/>
    </row>
    <row r="59" spans="1:21" ht="20.100000000000001" customHeight="1">
      <c r="A59" s="13"/>
      <c r="B59" s="13"/>
      <c r="C59" s="13"/>
      <c r="D59" s="13"/>
      <c r="E59" s="13"/>
      <c r="F59" s="16"/>
      <c r="G59" s="16"/>
      <c r="H59" s="16"/>
      <c r="I59" s="22" t="str">
        <f t="shared" si="1"/>
        <v/>
      </c>
      <c r="J59" s="16"/>
      <c r="K59" s="13"/>
      <c r="L59" s="13"/>
      <c r="M59" s="13"/>
      <c r="N59" s="13"/>
      <c r="O59" s="13"/>
      <c r="P59" s="13"/>
      <c r="Q59" s="31"/>
      <c r="R59" s="31"/>
      <c r="S59" s="31"/>
      <c r="T59" s="31"/>
      <c r="U59" s="31"/>
    </row>
    <row r="60" spans="1:21" ht="20.100000000000001" customHeight="1">
      <c r="A60" s="13"/>
      <c r="B60" s="13"/>
      <c r="C60" s="13"/>
      <c r="D60" s="13"/>
      <c r="E60" s="13"/>
      <c r="F60" s="16"/>
      <c r="G60" s="16"/>
      <c r="H60" s="16"/>
      <c r="I60" s="22" t="str">
        <f t="shared" si="1"/>
        <v/>
      </c>
      <c r="J60" s="16"/>
      <c r="K60" s="13"/>
      <c r="L60" s="13"/>
      <c r="M60" s="13"/>
      <c r="N60" s="13"/>
      <c r="O60" s="13"/>
      <c r="P60" s="13"/>
      <c r="Q60" s="31"/>
      <c r="R60" s="31"/>
      <c r="S60" s="31"/>
      <c r="T60" s="31"/>
      <c r="U60" s="31"/>
    </row>
    <row r="61" spans="1:21" ht="20.100000000000001" customHeight="1">
      <c r="A61" s="13"/>
      <c r="B61" s="13"/>
      <c r="C61" s="13"/>
      <c r="D61" s="13"/>
      <c r="E61" s="13"/>
      <c r="F61" s="16"/>
      <c r="G61" s="16"/>
      <c r="H61" s="16"/>
      <c r="I61" s="22" t="str">
        <f t="shared" si="1"/>
        <v/>
      </c>
      <c r="J61" s="16"/>
      <c r="K61" s="13"/>
      <c r="L61" s="13"/>
      <c r="M61" s="13"/>
      <c r="N61" s="13"/>
      <c r="O61" s="13"/>
      <c r="P61" s="13"/>
      <c r="Q61" s="31"/>
      <c r="R61" s="31"/>
      <c r="S61" s="31"/>
      <c r="T61" s="31"/>
      <c r="U61" s="31"/>
    </row>
    <row r="62" spans="1:21" ht="20.100000000000001" customHeight="1">
      <c r="A62" s="13"/>
      <c r="B62" s="13"/>
      <c r="C62" s="13"/>
      <c r="D62" s="13"/>
      <c r="E62" s="13"/>
      <c r="F62" s="16"/>
      <c r="G62" s="16"/>
      <c r="H62" s="16"/>
      <c r="I62" s="22" t="str">
        <f t="shared" si="1"/>
        <v/>
      </c>
      <c r="J62" s="16"/>
      <c r="K62" s="13"/>
      <c r="L62" s="13"/>
      <c r="M62" s="13"/>
      <c r="N62" s="13"/>
      <c r="O62" s="13"/>
      <c r="P62" s="13"/>
      <c r="Q62" s="31"/>
      <c r="R62" s="31"/>
      <c r="S62" s="31"/>
      <c r="T62" s="31"/>
      <c r="U62" s="31"/>
    </row>
    <row r="63" spans="1:21" ht="20.100000000000001" customHeight="1">
      <c r="A63" s="13"/>
      <c r="B63" s="13"/>
      <c r="C63" s="13"/>
      <c r="D63" s="13"/>
      <c r="E63" s="13"/>
      <c r="F63" s="16"/>
      <c r="G63" s="16"/>
      <c r="H63" s="16"/>
      <c r="I63" s="22" t="str">
        <f t="shared" si="1"/>
        <v/>
      </c>
      <c r="J63" s="16"/>
      <c r="K63" s="13"/>
      <c r="L63" s="13"/>
      <c r="M63" s="13"/>
      <c r="N63" s="13"/>
      <c r="O63" s="13"/>
      <c r="P63" s="13"/>
      <c r="Q63" s="31"/>
      <c r="R63" s="31"/>
      <c r="S63" s="31"/>
      <c r="T63" s="31"/>
      <c r="U63" s="31"/>
    </row>
    <row r="64" spans="1:21" ht="20.100000000000001" customHeight="1">
      <c r="A64" s="13"/>
      <c r="B64" s="13"/>
      <c r="C64" s="13"/>
      <c r="D64" s="13"/>
      <c r="E64" s="13"/>
      <c r="F64" s="16"/>
      <c r="G64" s="16"/>
      <c r="H64" s="16"/>
      <c r="I64" s="22" t="str">
        <f t="shared" si="1"/>
        <v/>
      </c>
      <c r="J64" s="16"/>
      <c r="K64" s="13"/>
      <c r="L64" s="13"/>
      <c r="M64" s="13"/>
      <c r="N64" s="13"/>
      <c r="O64" s="13"/>
      <c r="P64" s="13"/>
      <c r="Q64" s="31"/>
      <c r="R64" s="31"/>
      <c r="S64" s="31"/>
      <c r="T64" s="31"/>
      <c r="U64" s="31"/>
    </row>
    <row r="65" spans="1:21" ht="20.100000000000001" customHeight="1">
      <c r="A65" s="13"/>
      <c r="B65" s="13"/>
      <c r="C65" s="13"/>
      <c r="D65" s="13"/>
      <c r="E65" s="13"/>
      <c r="F65" s="16"/>
      <c r="G65" s="16"/>
      <c r="H65" s="16"/>
      <c r="I65" s="22" t="str">
        <f t="shared" si="1"/>
        <v/>
      </c>
      <c r="J65" s="16"/>
      <c r="K65" s="13"/>
      <c r="L65" s="13"/>
      <c r="M65" s="13"/>
      <c r="N65" s="13"/>
      <c r="O65" s="13"/>
      <c r="P65" s="13"/>
      <c r="Q65" s="31"/>
      <c r="R65" s="31"/>
      <c r="S65" s="31"/>
      <c r="T65" s="31"/>
      <c r="U65" s="31"/>
    </row>
    <row r="66" spans="1:21" ht="20.100000000000001" customHeight="1">
      <c r="A66" s="13"/>
      <c r="B66" s="13"/>
      <c r="C66" s="13"/>
      <c r="D66" s="13"/>
      <c r="E66" s="13"/>
      <c r="F66" s="16"/>
      <c r="G66" s="16"/>
      <c r="H66" s="16"/>
      <c r="I66" s="22" t="str">
        <f t="shared" si="1"/>
        <v/>
      </c>
      <c r="J66" s="16"/>
      <c r="K66" s="13"/>
      <c r="L66" s="13"/>
      <c r="M66" s="13"/>
      <c r="N66" s="13"/>
      <c r="O66" s="13"/>
      <c r="P66" s="13"/>
      <c r="Q66" s="31"/>
      <c r="R66" s="31"/>
      <c r="S66" s="31"/>
      <c r="T66" s="31"/>
      <c r="U66" s="31"/>
    </row>
    <row r="67" spans="1:21" ht="20.100000000000001" customHeight="1">
      <c r="A67" s="13"/>
      <c r="B67" s="13"/>
      <c r="C67" s="13"/>
      <c r="D67" s="13"/>
      <c r="E67" s="13"/>
      <c r="F67" s="16"/>
      <c r="G67" s="16"/>
      <c r="H67" s="16"/>
      <c r="I67" s="22" t="str">
        <f t="shared" si="1"/>
        <v/>
      </c>
      <c r="J67" s="16"/>
      <c r="K67" s="13"/>
      <c r="L67" s="13"/>
      <c r="M67" s="13"/>
      <c r="N67" s="13"/>
      <c r="O67" s="13"/>
      <c r="P67" s="13"/>
      <c r="Q67" s="31"/>
      <c r="R67" s="31"/>
      <c r="S67" s="31"/>
      <c r="T67" s="31"/>
      <c r="U67" s="31"/>
    </row>
    <row r="68" spans="1:21" ht="20.100000000000001" customHeight="1">
      <c r="A68" s="13"/>
      <c r="B68" s="13"/>
      <c r="C68" s="13"/>
      <c r="D68" s="13"/>
      <c r="E68" s="13"/>
      <c r="F68" s="16"/>
      <c r="G68" s="16"/>
      <c r="H68" s="16"/>
      <c r="I68" s="22" t="str">
        <f t="shared" si="1"/>
        <v/>
      </c>
      <c r="J68" s="16"/>
      <c r="K68" s="13"/>
      <c r="L68" s="13"/>
      <c r="M68" s="13"/>
      <c r="N68" s="13"/>
      <c r="O68" s="13"/>
      <c r="P68" s="13"/>
      <c r="Q68" s="31"/>
      <c r="R68" s="31"/>
      <c r="S68" s="31"/>
      <c r="T68" s="31"/>
      <c r="U68" s="31"/>
    </row>
    <row r="69" spans="1:21" ht="20.100000000000001" customHeight="1">
      <c r="A69" s="13"/>
      <c r="B69" s="13"/>
      <c r="C69" s="13"/>
      <c r="D69" s="13"/>
      <c r="E69" s="13"/>
      <c r="F69" s="16"/>
      <c r="G69" s="16"/>
      <c r="H69" s="16"/>
      <c r="I69" s="22" t="str">
        <f t="shared" si="1"/>
        <v/>
      </c>
      <c r="J69" s="16"/>
      <c r="K69" s="13"/>
      <c r="L69" s="13"/>
      <c r="M69" s="13"/>
      <c r="N69" s="13"/>
      <c r="O69" s="13"/>
      <c r="P69" s="13"/>
      <c r="Q69" s="31"/>
      <c r="R69" s="31"/>
      <c r="S69" s="31"/>
      <c r="T69" s="31"/>
      <c r="U69" s="31"/>
    </row>
    <row r="70" spans="1:21" ht="20.100000000000001" customHeight="1">
      <c r="A70" s="13"/>
      <c r="B70" s="13"/>
      <c r="C70" s="13"/>
      <c r="D70" s="13"/>
      <c r="E70" s="13"/>
      <c r="F70" s="16"/>
      <c r="G70" s="16"/>
      <c r="H70" s="16"/>
      <c r="I70" s="22" t="str">
        <f t="shared" ref="I70:I101" si="2">IF(A70="","",IF(OR(F70="",G70="",H70=""),"",F70*G70*H70))</f>
        <v/>
      </c>
      <c r="J70" s="16"/>
      <c r="K70" s="13"/>
      <c r="L70" s="13"/>
      <c r="M70" s="13"/>
      <c r="N70" s="13"/>
      <c r="O70" s="13"/>
      <c r="P70" s="13"/>
      <c r="Q70" s="31"/>
      <c r="R70" s="31"/>
      <c r="S70" s="31"/>
      <c r="T70" s="31"/>
      <c r="U70" s="31"/>
    </row>
    <row r="71" spans="1:21" ht="20.100000000000001" customHeight="1">
      <c r="A71" s="13"/>
      <c r="B71" s="13"/>
      <c r="C71" s="13"/>
      <c r="D71" s="13"/>
      <c r="E71" s="13"/>
      <c r="F71" s="16"/>
      <c r="G71" s="16"/>
      <c r="H71" s="16"/>
      <c r="I71" s="22" t="str">
        <f t="shared" si="2"/>
        <v/>
      </c>
      <c r="J71" s="16"/>
      <c r="K71" s="13"/>
      <c r="L71" s="13"/>
      <c r="M71" s="13"/>
      <c r="N71" s="13"/>
      <c r="O71" s="13"/>
      <c r="P71" s="13"/>
      <c r="Q71" s="31"/>
      <c r="R71" s="31"/>
      <c r="S71" s="31"/>
      <c r="T71" s="31"/>
      <c r="U71" s="31"/>
    </row>
    <row r="72" spans="1:21" ht="20.100000000000001" customHeight="1">
      <c r="A72" s="13"/>
      <c r="B72" s="13"/>
      <c r="C72" s="13"/>
      <c r="D72" s="13"/>
      <c r="E72" s="13"/>
      <c r="F72" s="16"/>
      <c r="G72" s="16"/>
      <c r="H72" s="16"/>
      <c r="I72" s="22" t="str">
        <f t="shared" si="2"/>
        <v/>
      </c>
      <c r="J72" s="16"/>
      <c r="K72" s="13"/>
      <c r="L72" s="13"/>
      <c r="M72" s="13"/>
      <c r="N72" s="13"/>
      <c r="O72" s="13"/>
      <c r="P72" s="13"/>
      <c r="Q72" s="31"/>
      <c r="R72" s="31"/>
      <c r="S72" s="31"/>
      <c r="T72" s="31"/>
      <c r="U72" s="31"/>
    </row>
    <row r="73" spans="1:21" ht="20.100000000000001" customHeight="1">
      <c r="A73" s="13"/>
      <c r="B73" s="13"/>
      <c r="C73" s="13"/>
      <c r="D73" s="13"/>
      <c r="E73" s="13"/>
      <c r="F73" s="16"/>
      <c r="G73" s="16"/>
      <c r="H73" s="16"/>
      <c r="I73" s="22" t="str">
        <f t="shared" si="2"/>
        <v/>
      </c>
      <c r="J73" s="16"/>
      <c r="K73" s="13"/>
      <c r="L73" s="13"/>
      <c r="M73" s="13"/>
      <c r="N73" s="13"/>
      <c r="O73" s="13"/>
      <c r="P73" s="13"/>
      <c r="Q73" s="31"/>
      <c r="R73" s="31"/>
      <c r="S73" s="31"/>
      <c r="T73" s="31"/>
      <c r="U73" s="31"/>
    </row>
    <row r="74" spans="1:21" ht="20.100000000000001" customHeight="1">
      <c r="A74" s="13"/>
      <c r="B74" s="13"/>
      <c r="C74" s="13"/>
      <c r="D74" s="13"/>
      <c r="E74" s="13"/>
      <c r="F74" s="16"/>
      <c r="G74" s="16"/>
      <c r="H74" s="16"/>
      <c r="I74" s="22" t="str">
        <f t="shared" si="2"/>
        <v/>
      </c>
      <c r="J74" s="16"/>
      <c r="K74" s="13"/>
      <c r="L74" s="13"/>
      <c r="M74" s="13"/>
      <c r="N74" s="13"/>
      <c r="O74" s="13"/>
      <c r="P74" s="13"/>
      <c r="Q74" s="31"/>
      <c r="R74" s="31"/>
      <c r="S74" s="31"/>
      <c r="T74" s="31"/>
      <c r="U74" s="31"/>
    </row>
    <row r="75" spans="1:21" ht="20.100000000000001" customHeight="1">
      <c r="A75" s="13"/>
      <c r="B75" s="13"/>
      <c r="C75" s="13"/>
      <c r="D75" s="13"/>
      <c r="E75" s="13"/>
      <c r="F75" s="16"/>
      <c r="G75" s="16"/>
      <c r="H75" s="16"/>
      <c r="I75" s="22" t="str">
        <f t="shared" si="2"/>
        <v/>
      </c>
      <c r="J75" s="16"/>
      <c r="K75" s="13"/>
      <c r="L75" s="13"/>
      <c r="M75" s="13"/>
      <c r="N75" s="13"/>
      <c r="O75" s="13"/>
      <c r="P75" s="13"/>
      <c r="Q75" s="31"/>
      <c r="R75" s="31"/>
      <c r="S75" s="31"/>
      <c r="T75" s="31"/>
      <c r="U75" s="31"/>
    </row>
    <row r="76" spans="1:21" ht="20.100000000000001" customHeight="1">
      <c r="A76" s="13"/>
      <c r="B76" s="13"/>
      <c r="C76" s="13"/>
      <c r="D76" s="13"/>
      <c r="E76" s="13"/>
      <c r="F76" s="16"/>
      <c r="G76" s="16"/>
      <c r="H76" s="16"/>
      <c r="I76" s="22" t="str">
        <f t="shared" si="2"/>
        <v/>
      </c>
      <c r="J76" s="16"/>
      <c r="K76" s="13"/>
      <c r="L76" s="13"/>
      <c r="M76" s="13"/>
      <c r="N76" s="13"/>
      <c r="O76" s="13"/>
      <c r="P76" s="13"/>
      <c r="Q76" s="31"/>
      <c r="R76" s="31"/>
      <c r="S76" s="31"/>
      <c r="T76" s="31"/>
      <c r="U76" s="31"/>
    </row>
    <row r="77" spans="1:21" ht="20.100000000000001" customHeight="1">
      <c r="A77" s="13"/>
      <c r="B77" s="13"/>
      <c r="C77" s="13"/>
      <c r="D77" s="13"/>
      <c r="E77" s="13"/>
      <c r="F77" s="16"/>
      <c r="G77" s="16"/>
      <c r="H77" s="16"/>
      <c r="I77" s="22" t="str">
        <f t="shared" si="2"/>
        <v/>
      </c>
      <c r="J77" s="16"/>
      <c r="K77" s="13"/>
      <c r="L77" s="13"/>
      <c r="M77" s="13"/>
      <c r="N77" s="13"/>
      <c r="O77" s="13"/>
      <c r="P77" s="13"/>
      <c r="Q77" s="31"/>
      <c r="R77" s="31"/>
      <c r="S77" s="31"/>
      <c r="T77" s="31"/>
      <c r="U77" s="31"/>
    </row>
    <row r="78" spans="1:21" ht="20.100000000000001" customHeight="1">
      <c r="A78" s="13"/>
      <c r="B78" s="13"/>
      <c r="C78" s="13"/>
      <c r="D78" s="13"/>
      <c r="E78" s="13"/>
      <c r="F78" s="16"/>
      <c r="G78" s="16"/>
      <c r="H78" s="16"/>
      <c r="I78" s="22" t="str">
        <f t="shared" si="2"/>
        <v/>
      </c>
      <c r="J78" s="16"/>
      <c r="K78" s="13"/>
      <c r="L78" s="13"/>
      <c r="M78" s="13"/>
      <c r="N78" s="13"/>
      <c r="O78" s="13"/>
      <c r="P78" s="13"/>
      <c r="Q78" s="31"/>
      <c r="R78" s="31"/>
      <c r="S78" s="31"/>
      <c r="T78" s="31"/>
      <c r="U78" s="31"/>
    </row>
    <row r="79" spans="1:21" ht="20.100000000000001" customHeight="1">
      <c r="A79" s="13"/>
      <c r="B79" s="13"/>
      <c r="C79" s="13"/>
      <c r="D79" s="13"/>
      <c r="E79" s="13"/>
      <c r="F79" s="16"/>
      <c r="G79" s="16"/>
      <c r="H79" s="16"/>
      <c r="I79" s="22" t="str">
        <f t="shared" si="2"/>
        <v/>
      </c>
      <c r="J79" s="16"/>
      <c r="K79" s="13"/>
      <c r="L79" s="13"/>
      <c r="M79" s="13"/>
      <c r="N79" s="13"/>
      <c r="O79" s="13"/>
      <c r="P79" s="13"/>
      <c r="Q79" s="31"/>
      <c r="R79" s="31"/>
      <c r="S79" s="31"/>
      <c r="T79" s="31"/>
      <c r="U79" s="31"/>
    </row>
    <row r="80" spans="1:21" ht="20.100000000000001" customHeight="1">
      <c r="A80" s="13"/>
      <c r="B80" s="13"/>
      <c r="C80" s="13"/>
      <c r="D80" s="13"/>
      <c r="E80" s="13"/>
      <c r="F80" s="16"/>
      <c r="G80" s="16"/>
      <c r="H80" s="16"/>
      <c r="I80" s="22" t="str">
        <f t="shared" si="2"/>
        <v/>
      </c>
      <c r="J80" s="16"/>
      <c r="K80" s="13"/>
      <c r="L80" s="13"/>
      <c r="M80" s="13"/>
      <c r="N80" s="13"/>
      <c r="O80" s="13"/>
      <c r="P80" s="13"/>
      <c r="Q80" s="31"/>
      <c r="R80" s="31"/>
      <c r="S80" s="31"/>
      <c r="T80" s="31"/>
      <c r="U80" s="31"/>
    </row>
    <row r="81" spans="1:21" ht="20.100000000000001" customHeight="1">
      <c r="A81" s="13"/>
      <c r="B81" s="13"/>
      <c r="C81" s="13"/>
      <c r="D81" s="13"/>
      <c r="E81" s="13"/>
      <c r="F81" s="16"/>
      <c r="G81" s="16"/>
      <c r="H81" s="16"/>
      <c r="I81" s="22" t="str">
        <f t="shared" si="2"/>
        <v/>
      </c>
      <c r="J81" s="16"/>
      <c r="K81" s="13"/>
      <c r="L81" s="13"/>
      <c r="M81" s="13"/>
      <c r="N81" s="13"/>
      <c r="O81" s="13"/>
      <c r="P81" s="13"/>
      <c r="Q81" s="31"/>
      <c r="R81" s="31"/>
      <c r="S81" s="31"/>
      <c r="T81" s="31"/>
      <c r="U81" s="31"/>
    </row>
    <row r="82" spans="1:21" ht="20.100000000000001" customHeight="1">
      <c r="A82" s="13"/>
      <c r="B82" s="13"/>
      <c r="C82" s="13"/>
      <c r="D82" s="13"/>
      <c r="E82" s="13"/>
      <c r="F82" s="16"/>
      <c r="G82" s="16"/>
      <c r="H82" s="16"/>
      <c r="I82" s="22" t="str">
        <f t="shared" si="2"/>
        <v/>
      </c>
      <c r="J82" s="16"/>
      <c r="K82" s="13"/>
      <c r="L82" s="13"/>
      <c r="M82" s="13"/>
      <c r="N82" s="13"/>
      <c r="O82" s="13"/>
      <c r="P82" s="13"/>
      <c r="Q82" s="31"/>
      <c r="R82" s="31"/>
      <c r="S82" s="31"/>
      <c r="T82" s="31"/>
      <c r="U82" s="31"/>
    </row>
    <row r="83" spans="1:21" ht="20.100000000000001" customHeight="1">
      <c r="A83" s="13"/>
      <c r="B83" s="13"/>
      <c r="C83" s="13"/>
      <c r="D83" s="13"/>
      <c r="E83" s="13"/>
      <c r="F83" s="16"/>
      <c r="G83" s="16"/>
      <c r="H83" s="16"/>
      <c r="I83" s="22" t="str">
        <f t="shared" si="2"/>
        <v/>
      </c>
      <c r="J83" s="16"/>
      <c r="K83" s="13"/>
      <c r="L83" s="13"/>
      <c r="M83" s="13"/>
      <c r="N83" s="13"/>
      <c r="O83" s="13"/>
      <c r="P83" s="13"/>
      <c r="Q83" s="31"/>
      <c r="R83" s="31"/>
      <c r="S83" s="31"/>
      <c r="T83" s="31"/>
      <c r="U83" s="31"/>
    </row>
    <row r="84" spans="1:21" ht="20.100000000000001" customHeight="1">
      <c r="A84" s="13"/>
      <c r="B84" s="13"/>
      <c r="C84" s="13"/>
      <c r="D84" s="13"/>
      <c r="E84" s="13"/>
      <c r="F84" s="16"/>
      <c r="G84" s="16"/>
      <c r="H84" s="16"/>
      <c r="I84" s="22" t="str">
        <f t="shared" si="2"/>
        <v/>
      </c>
      <c r="J84" s="16"/>
      <c r="K84" s="13"/>
      <c r="L84" s="13"/>
      <c r="M84" s="13"/>
      <c r="N84" s="13"/>
      <c r="O84" s="13"/>
      <c r="P84" s="13"/>
      <c r="Q84" s="31"/>
      <c r="R84" s="31"/>
      <c r="S84" s="31"/>
      <c r="T84" s="31"/>
      <c r="U84" s="31"/>
    </row>
    <row r="85" spans="1:21" ht="20.100000000000001" customHeight="1">
      <c r="A85" s="13"/>
      <c r="B85" s="13"/>
      <c r="C85" s="13"/>
      <c r="D85" s="13"/>
      <c r="E85" s="13"/>
      <c r="F85" s="16"/>
      <c r="G85" s="16"/>
      <c r="H85" s="16"/>
      <c r="I85" s="22" t="str">
        <f t="shared" si="2"/>
        <v/>
      </c>
      <c r="J85" s="16"/>
      <c r="K85" s="13"/>
      <c r="L85" s="13"/>
      <c r="M85" s="13"/>
      <c r="N85" s="13"/>
      <c r="O85" s="13"/>
      <c r="P85" s="13"/>
      <c r="Q85" s="31"/>
      <c r="R85" s="31"/>
      <c r="S85" s="31"/>
      <c r="T85" s="31"/>
      <c r="U85" s="31"/>
    </row>
    <row r="86" spans="1:21" ht="20.100000000000001" customHeight="1">
      <c r="A86" s="13"/>
      <c r="B86" s="13"/>
      <c r="C86" s="13"/>
      <c r="D86" s="13"/>
      <c r="E86" s="13"/>
      <c r="F86" s="16"/>
      <c r="G86" s="16"/>
      <c r="H86" s="16"/>
      <c r="I86" s="22" t="str">
        <f t="shared" si="2"/>
        <v/>
      </c>
      <c r="J86" s="16"/>
      <c r="K86" s="13"/>
      <c r="L86" s="13"/>
      <c r="M86" s="13"/>
      <c r="N86" s="13"/>
      <c r="O86" s="13"/>
      <c r="P86" s="13"/>
      <c r="Q86" s="31"/>
      <c r="R86" s="31"/>
      <c r="S86" s="31"/>
      <c r="T86" s="31"/>
      <c r="U86" s="31"/>
    </row>
    <row r="87" spans="1:21" ht="20.100000000000001" customHeight="1">
      <c r="A87" s="13"/>
      <c r="B87" s="13"/>
      <c r="C87" s="13"/>
      <c r="D87" s="13"/>
      <c r="E87" s="13"/>
      <c r="F87" s="16"/>
      <c r="G87" s="16"/>
      <c r="H87" s="16"/>
      <c r="I87" s="22" t="str">
        <f t="shared" si="2"/>
        <v/>
      </c>
      <c r="J87" s="16"/>
      <c r="K87" s="13"/>
      <c r="L87" s="13"/>
      <c r="M87" s="13"/>
      <c r="N87" s="13"/>
      <c r="O87" s="13"/>
      <c r="P87" s="13"/>
      <c r="Q87" s="31"/>
      <c r="R87" s="31"/>
      <c r="S87" s="31"/>
      <c r="T87" s="31"/>
      <c r="U87" s="31"/>
    </row>
    <row r="88" spans="1:21" ht="20.100000000000001" customHeight="1">
      <c r="A88" s="13"/>
      <c r="B88" s="13"/>
      <c r="C88" s="13"/>
      <c r="D88" s="13"/>
      <c r="E88" s="13"/>
      <c r="F88" s="16"/>
      <c r="G88" s="16"/>
      <c r="H88" s="16"/>
      <c r="I88" s="22" t="str">
        <f t="shared" si="2"/>
        <v/>
      </c>
      <c r="J88" s="16"/>
      <c r="K88" s="13"/>
      <c r="L88" s="13"/>
      <c r="M88" s="13"/>
      <c r="N88" s="13"/>
      <c r="O88" s="13"/>
      <c r="P88" s="13"/>
      <c r="Q88" s="31"/>
      <c r="R88" s="31"/>
      <c r="S88" s="31"/>
      <c r="T88" s="31"/>
      <c r="U88" s="31"/>
    </row>
    <row r="89" spans="1:21" ht="20.100000000000001" customHeight="1">
      <c r="A89" s="13"/>
      <c r="B89" s="13"/>
      <c r="C89" s="13"/>
      <c r="D89" s="13"/>
      <c r="E89" s="13"/>
      <c r="F89" s="16"/>
      <c r="G89" s="16"/>
      <c r="H89" s="16"/>
      <c r="I89" s="22" t="str">
        <f t="shared" si="2"/>
        <v/>
      </c>
      <c r="J89" s="16"/>
      <c r="K89" s="13"/>
      <c r="L89" s="13"/>
      <c r="M89" s="13"/>
      <c r="N89" s="13"/>
      <c r="O89" s="13"/>
      <c r="P89" s="13"/>
      <c r="Q89" s="31"/>
      <c r="R89" s="31"/>
      <c r="S89" s="31"/>
      <c r="T89" s="31"/>
      <c r="U89" s="31"/>
    </row>
    <row r="90" spans="1:21" ht="20.100000000000001" customHeight="1">
      <c r="A90" s="13"/>
      <c r="B90" s="13"/>
      <c r="C90" s="13"/>
      <c r="D90" s="13"/>
      <c r="E90" s="13"/>
      <c r="F90" s="16"/>
      <c r="G90" s="16"/>
      <c r="H90" s="16"/>
      <c r="I90" s="22" t="str">
        <f t="shared" si="2"/>
        <v/>
      </c>
      <c r="J90" s="16"/>
      <c r="K90" s="13"/>
      <c r="L90" s="13"/>
      <c r="M90" s="13"/>
      <c r="N90" s="13"/>
      <c r="O90" s="13"/>
      <c r="P90" s="13"/>
      <c r="Q90" s="31"/>
      <c r="R90" s="31"/>
      <c r="S90" s="31"/>
      <c r="T90" s="31"/>
      <c r="U90" s="31"/>
    </row>
    <row r="91" spans="1:21" ht="20.100000000000001" customHeight="1">
      <c r="A91" s="13"/>
      <c r="B91" s="13"/>
      <c r="C91" s="13"/>
      <c r="D91" s="13"/>
      <c r="E91" s="13"/>
      <c r="F91" s="16"/>
      <c r="G91" s="16"/>
      <c r="H91" s="16"/>
      <c r="I91" s="22" t="str">
        <f t="shared" si="2"/>
        <v/>
      </c>
      <c r="J91" s="16"/>
      <c r="K91" s="13"/>
      <c r="L91" s="13"/>
      <c r="M91" s="13"/>
      <c r="N91" s="13"/>
      <c r="O91" s="13"/>
      <c r="P91" s="13"/>
      <c r="Q91" s="31"/>
      <c r="R91" s="31"/>
      <c r="S91" s="31"/>
      <c r="T91" s="31"/>
      <c r="U91" s="31"/>
    </row>
    <row r="92" spans="1:21" ht="20.100000000000001" customHeight="1">
      <c r="A92" s="13"/>
      <c r="B92" s="13"/>
      <c r="C92" s="13"/>
      <c r="D92" s="13"/>
      <c r="E92" s="13"/>
      <c r="F92" s="16"/>
      <c r="G92" s="16"/>
      <c r="H92" s="16"/>
      <c r="I92" s="22" t="str">
        <f t="shared" si="2"/>
        <v/>
      </c>
      <c r="J92" s="16"/>
      <c r="K92" s="13"/>
      <c r="L92" s="13"/>
      <c r="M92" s="13"/>
      <c r="N92" s="13"/>
      <c r="O92" s="13"/>
      <c r="P92" s="13"/>
      <c r="Q92" s="31"/>
      <c r="R92" s="31"/>
      <c r="S92" s="31"/>
      <c r="T92" s="31"/>
      <c r="U92" s="31"/>
    </row>
    <row r="93" spans="1:21" ht="20.100000000000001" customHeight="1">
      <c r="A93" s="13"/>
      <c r="B93" s="13"/>
      <c r="C93" s="13"/>
      <c r="D93" s="13"/>
      <c r="E93" s="13"/>
      <c r="F93" s="16"/>
      <c r="G93" s="16"/>
      <c r="H93" s="16"/>
      <c r="I93" s="22" t="str">
        <f t="shared" si="2"/>
        <v/>
      </c>
      <c r="J93" s="16"/>
      <c r="K93" s="13"/>
      <c r="L93" s="13"/>
      <c r="M93" s="13"/>
      <c r="N93" s="13"/>
      <c r="O93" s="13"/>
      <c r="P93" s="13"/>
      <c r="Q93" s="31"/>
      <c r="R93" s="31"/>
      <c r="S93" s="31"/>
      <c r="T93" s="31"/>
      <c r="U93" s="31"/>
    </row>
    <row r="94" spans="1:21" ht="20.100000000000001" customHeight="1">
      <c r="A94" s="13"/>
      <c r="B94" s="13"/>
      <c r="C94" s="13"/>
      <c r="D94" s="13"/>
      <c r="E94" s="13"/>
      <c r="F94" s="16"/>
      <c r="G94" s="16"/>
      <c r="H94" s="16"/>
      <c r="I94" s="22" t="str">
        <f t="shared" si="2"/>
        <v/>
      </c>
      <c r="J94" s="16"/>
      <c r="K94" s="13"/>
      <c r="L94" s="13"/>
      <c r="M94" s="13"/>
      <c r="N94" s="13"/>
      <c r="O94" s="13"/>
      <c r="P94" s="13"/>
      <c r="Q94" s="31"/>
      <c r="R94" s="31"/>
      <c r="S94" s="31"/>
      <c r="T94" s="31"/>
      <c r="U94" s="31"/>
    </row>
    <row r="95" spans="1:21" ht="20.100000000000001" customHeight="1">
      <c r="A95" s="13"/>
      <c r="B95" s="13"/>
      <c r="C95" s="13"/>
      <c r="D95" s="13"/>
      <c r="E95" s="13"/>
      <c r="F95" s="16"/>
      <c r="G95" s="16"/>
      <c r="H95" s="16"/>
      <c r="I95" s="22" t="str">
        <f t="shared" si="2"/>
        <v/>
      </c>
      <c r="J95" s="16"/>
      <c r="K95" s="13"/>
      <c r="L95" s="13"/>
      <c r="M95" s="13"/>
      <c r="N95" s="13"/>
      <c r="O95" s="13"/>
      <c r="P95" s="13"/>
      <c r="Q95" s="31"/>
      <c r="R95" s="31"/>
      <c r="S95" s="31"/>
      <c r="T95" s="31"/>
      <c r="U95" s="31"/>
    </row>
    <row r="96" spans="1:21" ht="20.100000000000001" customHeight="1">
      <c r="A96" s="13"/>
      <c r="B96" s="13"/>
      <c r="C96" s="13"/>
      <c r="D96" s="13"/>
      <c r="E96" s="13"/>
      <c r="F96" s="16"/>
      <c r="G96" s="16"/>
      <c r="H96" s="16"/>
      <c r="I96" s="22" t="str">
        <f t="shared" si="2"/>
        <v/>
      </c>
      <c r="J96" s="16"/>
      <c r="K96" s="13"/>
      <c r="L96" s="13"/>
      <c r="M96" s="13"/>
      <c r="N96" s="13"/>
      <c r="O96" s="13"/>
      <c r="P96" s="13"/>
      <c r="Q96" s="31"/>
      <c r="R96" s="31"/>
      <c r="S96" s="31"/>
      <c r="T96" s="31"/>
      <c r="U96" s="31"/>
    </row>
    <row r="97" spans="1:21" ht="20.100000000000001" customHeight="1">
      <c r="A97" s="13"/>
      <c r="B97" s="13"/>
      <c r="C97" s="13"/>
      <c r="D97" s="13"/>
      <c r="E97" s="13"/>
      <c r="F97" s="16"/>
      <c r="G97" s="16"/>
      <c r="H97" s="16"/>
      <c r="I97" s="22" t="str">
        <f t="shared" si="2"/>
        <v/>
      </c>
      <c r="J97" s="16"/>
      <c r="K97" s="13"/>
      <c r="L97" s="13"/>
      <c r="M97" s="13"/>
      <c r="N97" s="13"/>
      <c r="O97" s="13"/>
      <c r="P97" s="13"/>
      <c r="Q97" s="31"/>
      <c r="R97" s="31"/>
      <c r="S97" s="31"/>
      <c r="T97" s="31"/>
      <c r="U97" s="31"/>
    </row>
    <row r="98" spans="1:21" ht="20.100000000000001" customHeight="1">
      <c r="A98" s="13"/>
      <c r="B98" s="13"/>
      <c r="C98" s="13"/>
      <c r="D98" s="13"/>
      <c r="E98" s="13"/>
      <c r="F98" s="16"/>
      <c r="G98" s="16"/>
      <c r="H98" s="16"/>
      <c r="I98" s="22" t="str">
        <f t="shared" si="2"/>
        <v/>
      </c>
      <c r="J98" s="16"/>
      <c r="K98" s="13"/>
      <c r="L98" s="13"/>
      <c r="M98" s="13"/>
      <c r="N98" s="13"/>
      <c r="O98" s="13"/>
      <c r="P98" s="13"/>
      <c r="Q98" s="31"/>
      <c r="R98" s="31"/>
      <c r="S98" s="31"/>
      <c r="T98" s="31"/>
      <c r="U98" s="31"/>
    </row>
    <row r="99" spans="1:21" ht="20.100000000000001" customHeight="1">
      <c r="A99" s="13"/>
      <c r="B99" s="13"/>
      <c r="C99" s="13"/>
      <c r="D99" s="13"/>
      <c r="E99" s="13"/>
      <c r="F99" s="16"/>
      <c r="G99" s="16"/>
      <c r="H99" s="16"/>
      <c r="I99" s="22" t="str">
        <f t="shared" si="2"/>
        <v/>
      </c>
      <c r="J99" s="16"/>
      <c r="K99" s="13"/>
      <c r="L99" s="13"/>
      <c r="M99" s="13"/>
      <c r="N99" s="13"/>
      <c r="O99" s="13"/>
      <c r="P99" s="13"/>
      <c r="Q99" s="31"/>
      <c r="R99" s="31"/>
      <c r="S99" s="31"/>
      <c r="T99" s="31"/>
      <c r="U99" s="31"/>
    </row>
    <row r="100" spans="1:21" ht="20.100000000000001" customHeight="1">
      <c r="A100" s="13"/>
      <c r="B100" s="13"/>
      <c r="C100" s="13"/>
      <c r="D100" s="13"/>
      <c r="E100" s="13"/>
      <c r="F100" s="16"/>
      <c r="G100" s="16"/>
      <c r="H100" s="16"/>
      <c r="I100" s="22" t="str">
        <f t="shared" si="2"/>
        <v/>
      </c>
      <c r="J100" s="16"/>
      <c r="K100" s="13"/>
      <c r="L100" s="13"/>
      <c r="M100" s="13"/>
      <c r="N100" s="13"/>
      <c r="O100" s="13"/>
      <c r="P100" s="13"/>
      <c r="Q100" s="31"/>
      <c r="R100" s="31"/>
      <c r="S100" s="31"/>
      <c r="T100" s="31"/>
      <c r="U100" s="31"/>
    </row>
    <row r="101" spans="1:21" ht="20.100000000000001" customHeight="1">
      <c r="A101" s="13"/>
      <c r="B101" s="13"/>
      <c r="C101" s="13"/>
      <c r="D101" s="13"/>
      <c r="E101" s="13"/>
      <c r="F101" s="16"/>
      <c r="G101" s="16"/>
      <c r="H101" s="16"/>
      <c r="I101" s="22" t="str">
        <f t="shared" si="2"/>
        <v/>
      </c>
      <c r="J101" s="16"/>
      <c r="K101" s="13"/>
      <c r="L101" s="13"/>
      <c r="M101" s="13"/>
      <c r="N101" s="13"/>
      <c r="O101" s="13"/>
      <c r="P101" s="13"/>
      <c r="Q101" s="31"/>
      <c r="R101" s="31"/>
      <c r="S101" s="31"/>
      <c r="T101" s="31"/>
      <c r="U101" s="31"/>
    </row>
    <row r="102" spans="1:21" ht="20.100000000000001" customHeight="1">
      <c r="A102" s="13"/>
      <c r="B102" s="13"/>
      <c r="C102" s="13"/>
      <c r="D102" s="13"/>
      <c r="E102" s="13"/>
      <c r="F102" s="16"/>
      <c r="G102" s="16"/>
      <c r="H102" s="16"/>
      <c r="I102" s="22" t="str">
        <f t="shared" ref="I102:I133" si="3">IF(A102="","",IF(OR(F102="",G102="",H102=""),"",F102*G102*H102))</f>
        <v/>
      </c>
      <c r="J102" s="16"/>
      <c r="K102" s="13"/>
      <c r="L102" s="13"/>
      <c r="M102" s="13"/>
      <c r="N102" s="13"/>
      <c r="O102" s="13"/>
      <c r="P102" s="13"/>
      <c r="Q102" s="31"/>
      <c r="R102" s="31"/>
      <c r="S102" s="31"/>
      <c r="T102" s="31"/>
      <c r="U102" s="31"/>
    </row>
    <row r="103" spans="1:21" ht="20.100000000000001" customHeight="1">
      <c r="A103" s="13"/>
      <c r="B103" s="13"/>
      <c r="C103" s="13"/>
      <c r="D103" s="13"/>
      <c r="E103" s="13"/>
      <c r="F103" s="16"/>
      <c r="G103" s="16"/>
      <c r="H103" s="16"/>
      <c r="I103" s="22" t="str">
        <f t="shared" si="3"/>
        <v/>
      </c>
      <c r="J103" s="16"/>
      <c r="K103" s="13"/>
      <c r="L103" s="13"/>
      <c r="M103" s="13"/>
      <c r="N103" s="13"/>
      <c r="O103" s="13"/>
      <c r="P103" s="13"/>
      <c r="Q103" s="31"/>
      <c r="R103" s="31"/>
      <c r="S103" s="31"/>
      <c r="T103" s="31"/>
      <c r="U103" s="31"/>
    </row>
    <row r="104" spans="1:21" ht="20.100000000000001" customHeight="1">
      <c r="A104" s="13"/>
      <c r="B104" s="13"/>
      <c r="C104" s="13"/>
      <c r="D104" s="13"/>
      <c r="E104" s="13"/>
      <c r="F104" s="16"/>
      <c r="G104" s="16"/>
      <c r="H104" s="16"/>
      <c r="I104" s="22" t="str">
        <f t="shared" si="3"/>
        <v/>
      </c>
      <c r="J104" s="16"/>
      <c r="K104" s="13"/>
      <c r="L104" s="13"/>
      <c r="M104" s="13"/>
      <c r="N104" s="13"/>
      <c r="O104" s="13"/>
      <c r="P104" s="13"/>
      <c r="Q104" s="31"/>
      <c r="R104" s="31"/>
      <c r="S104" s="31"/>
      <c r="T104" s="31"/>
      <c r="U104" s="31"/>
    </row>
    <row r="105" spans="1:21" ht="20.100000000000001" customHeight="1">
      <c r="A105" s="13"/>
      <c r="B105" s="13"/>
      <c r="C105" s="13"/>
      <c r="D105" s="13"/>
      <c r="E105" s="13"/>
      <c r="F105" s="16"/>
      <c r="G105" s="16"/>
      <c r="H105" s="16"/>
      <c r="I105" s="22" t="str">
        <f t="shared" si="3"/>
        <v/>
      </c>
      <c r="J105" s="16"/>
      <c r="K105" s="13"/>
      <c r="L105" s="13"/>
      <c r="M105" s="13"/>
      <c r="N105" s="13"/>
      <c r="O105" s="13"/>
      <c r="P105" s="13"/>
      <c r="Q105" s="31"/>
      <c r="R105" s="31"/>
      <c r="S105" s="31"/>
      <c r="T105" s="31"/>
      <c r="U105" s="31"/>
    </row>
    <row r="106" spans="1:21" ht="20.100000000000001" customHeight="1">
      <c r="A106" s="13"/>
      <c r="B106" s="13"/>
      <c r="C106" s="13"/>
      <c r="D106" s="13"/>
      <c r="E106" s="13"/>
      <c r="F106" s="16"/>
      <c r="G106" s="16"/>
      <c r="H106" s="16"/>
      <c r="I106" s="22" t="str">
        <f t="shared" si="3"/>
        <v/>
      </c>
      <c r="J106" s="16"/>
      <c r="K106" s="13"/>
      <c r="L106" s="13"/>
      <c r="M106" s="13"/>
      <c r="N106" s="13"/>
      <c r="O106" s="13"/>
      <c r="P106" s="13"/>
      <c r="Q106" s="31"/>
      <c r="R106" s="31"/>
      <c r="S106" s="31"/>
      <c r="T106" s="31"/>
      <c r="U106" s="31"/>
    </row>
    <row r="107" spans="1:21" ht="20.100000000000001" customHeight="1">
      <c r="A107" s="13"/>
      <c r="B107" s="13"/>
      <c r="C107" s="13"/>
      <c r="D107" s="13"/>
      <c r="E107" s="13"/>
      <c r="F107" s="16"/>
      <c r="G107" s="16"/>
      <c r="H107" s="16"/>
      <c r="I107" s="22" t="str">
        <f t="shared" si="3"/>
        <v/>
      </c>
      <c r="J107" s="16"/>
      <c r="K107" s="13"/>
      <c r="L107" s="13"/>
      <c r="M107" s="13"/>
      <c r="N107" s="13"/>
      <c r="O107" s="13"/>
      <c r="P107" s="13"/>
      <c r="Q107" s="31"/>
      <c r="R107" s="31"/>
      <c r="S107" s="31"/>
      <c r="T107" s="31"/>
      <c r="U107" s="31"/>
    </row>
    <row r="108" spans="1:21" ht="20.100000000000001" customHeight="1">
      <c r="A108" s="13"/>
      <c r="B108" s="13"/>
      <c r="C108" s="13"/>
      <c r="D108" s="13"/>
      <c r="E108" s="13"/>
      <c r="F108" s="16"/>
      <c r="G108" s="16"/>
      <c r="H108" s="16"/>
      <c r="I108" s="22" t="str">
        <f t="shared" si="3"/>
        <v/>
      </c>
      <c r="J108" s="16"/>
      <c r="K108" s="13"/>
      <c r="L108" s="13"/>
      <c r="M108" s="13"/>
      <c r="N108" s="13"/>
      <c r="O108" s="13"/>
      <c r="P108" s="13"/>
      <c r="Q108" s="31"/>
      <c r="R108" s="31"/>
      <c r="S108" s="31"/>
      <c r="T108" s="31"/>
      <c r="U108" s="31"/>
    </row>
    <row r="109" spans="1:21" ht="20.100000000000001" customHeight="1">
      <c r="A109" s="13"/>
      <c r="B109" s="13"/>
      <c r="C109" s="13"/>
      <c r="D109" s="13"/>
      <c r="E109" s="13"/>
      <c r="F109" s="16"/>
      <c r="G109" s="16"/>
      <c r="H109" s="16"/>
      <c r="I109" s="22" t="str">
        <f t="shared" si="3"/>
        <v/>
      </c>
      <c r="J109" s="16"/>
      <c r="K109" s="13"/>
      <c r="L109" s="13"/>
      <c r="M109" s="13"/>
      <c r="N109" s="13"/>
      <c r="O109" s="13"/>
      <c r="P109" s="13"/>
      <c r="Q109" s="31"/>
      <c r="R109" s="31"/>
      <c r="S109" s="31"/>
      <c r="T109" s="31"/>
      <c r="U109" s="31"/>
    </row>
    <row r="110" spans="1:21" ht="20.100000000000001" customHeight="1">
      <c r="A110" s="13"/>
      <c r="B110" s="13"/>
      <c r="C110" s="13"/>
      <c r="D110" s="13"/>
      <c r="E110" s="13"/>
      <c r="F110" s="16"/>
      <c r="G110" s="16"/>
      <c r="H110" s="16"/>
      <c r="I110" s="22" t="str">
        <f t="shared" si="3"/>
        <v/>
      </c>
      <c r="J110" s="16"/>
      <c r="K110" s="13"/>
      <c r="L110" s="13"/>
      <c r="M110" s="13"/>
      <c r="N110" s="13"/>
      <c r="O110" s="13"/>
      <c r="P110" s="13"/>
      <c r="Q110" s="31"/>
      <c r="R110" s="31"/>
      <c r="S110" s="31"/>
      <c r="T110" s="31"/>
      <c r="U110" s="31"/>
    </row>
    <row r="111" spans="1:21" ht="20.100000000000001" customHeight="1">
      <c r="A111" s="13"/>
      <c r="B111" s="13"/>
      <c r="C111" s="13"/>
      <c r="D111" s="13"/>
      <c r="E111" s="13"/>
      <c r="F111" s="16"/>
      <c r="G111" s="16"/>
      <c r="H111" s="16"/>
      <c r="I111" s="22" t="str">
        <f t="shared" si="3"/>
        <v/>
      </c>
      <c r="J111" s="16"/>
      <c r="K111" s="13"/>
      <c r="L111" s="13"/>
      <c r="M111" s="13"/>
      <c r="N111" s="13"/>
      <c r="O111" s="13"/>
      <c r="P111" s="13"/>
      <c r="Q111" s="31"/>
      <c r="R111" s="31"/>
      <c r="S111" s="31"/>
      <c r="T111" s="31"/>
      <c r="U111" s="31"/>
    </row>
    <row r="112" spans="1:21" ht="20.100000000000001" customHeight="1">
      <c r="A112" s="13"/>
      <c r="B112" s="13"/>
      <c r="C112" s="13"/>
      <c r="D112" s="13"/>
      <c r="E112" s="13"/>
      <c r="F112" s="16"/>
      <c r="G112" s="16"/>
      <c r="H112" s="16"/>
      <c r="I112" s="22" t="str">
        <f t="shared" si="3"/>
        <v/>
      </c>
      <c r="J112" s="16"/>
      <c r="K112" s="13"/>
      <c r="L112" s="13"/>
      <c r="M112" s="13"/>
      <c r="N112" s="13"/>
      <c r="O112" s="13"/>
      <c r="P112" s="13"/>
      <c r="Q112" s="31"/>
      <c r="R112" s="31"/>
      <c r="S112" s="31"/>
      <c r="T112" s="31"/>
      <c r="U112" s="31"/>
    </row>
    <row r="113" spans="1:21" ht="20.100000000000001" customHeight="1">
      <c r="A113" s="13"/>
      <c r="B113" s="13"/>
      <c r="C113" s="13"/>
      <c r="D113" s="13"/>
      <c r="E113" s="13"/>
      <c r="F113" s="16"/>
      <c r="G113" s="16"/>
      <c r="H113" s="16"/>
      <c r="I113" s="22" t="str">
        <f t="shared" si="3"/>
        <v/>
      </c>
      <c r="J113" s="16"/>
      <c r="K113" s="13"/>
      <c r="L113" s="13"/>
      <c r="M113" s="13"/>
      <c r="N113" s="13"/>
      <c r="O113" s="13"/>
      <c r="P113" s="13"/>
      <c r="Q113" s="31"/>
      <c r="R113" s="31"/>
      <c r="S113" s="31"/>
      <c r="T113" s="31"/>
      <c r="U113" s="31"/>
    </row>
    <row r="114" spans="1:21" ht="20.100000000000001" customHeight="1">
      <c r="A114" s="13"/>
      <c r="B114" s="13"/>
      <c r="C114" s="13"/>
      <c r="D114" s="13"/>
      <c r="E114" s="13"/>
      <c r="F114" s="16"/>
      <c r="G114" s="16"/>
      <c r="H114" s="16"/>
      <c r="I114" s="22" t="str">
        <f t="shared" si="3"/>
        <v/>
      </c>
      <c r="J114" s="16"/>
      <c r="K114" s="13"/>
      <c r="L114" s="13"/>
      <c r="M114" s="13"/>
      <c r="N114" s="13"/>
      <c r="O114" s="13"/>
      <c r="P114" s="13"/>
      <c r="Q114" s="31"/>
      <c r="R114" s="31"/>
      <c r="S114" s="31"/>
      <c r="T114" s="31"/>
      <c r="U114" s="31"/>
    </row>
    <row r="115" spans="1:21" ht="20.100000000000001" customHeight="1">
      <c r="A115" s="13"/>
      <c r="B115" s="13"/>
      <c r="C115" s="13"/>
      <c r="D115" s="13"/>
      <c r="E115" s="13"/>
      <c r="F115" s="16"/>
      <c r="G115" s="16"/>
      <c r="H115" s="16"/>
      <c r="I115" s="22" t="str">
        <f t="shared" si="3"/>
        <v/>
      </c>
      <c r="J115" s="16"/>
      <c r="K115" s="13"/>
      <c r="L115" s="13"/>
      <c r="M115" s="13"/>
      <c r="N115" s="13"/>
      <c r="O115" s="13"/>
      <c r="P115" s="13"/>
      <c r="Q115" s="31"/>
      <c r="R115" s="31"/>
      <c r="S115" s="31"/>
      <c r="T115" s="31"/>
      <c r="U115" s="31"/>
    </row>
    <row r="116" spans="1:21" ht="20.100000000000001" customHeight="1">
      <c r="A116" s="13"/>
      <c r="B116" s="13"/>
      <c r="C116" s="13"/>
      <c r="D116" s="13"/>
      <c r="E116" s="13"/>
      <c r="F116" s="16"/>
      <c r="G116" s="16"/>
      <c r="H116" s="16"/>
      <c r="I116" s="22" t="str">
        <f t="shared" si="3"/>
        <v/>
      </c>
      <c r="J116" s="16"/>
      <c r="K116" s="13"/>
      <c r="L116" s="13"/>
      <c r="M116" s="13"/>
      <c r="N116" s="13"/>
      <c r="O116" s="13"/>
      <c r="P116" s="13"/>
      <c r="Q116" s="31"/>
      <c r="R116" s="31"/>
      <c r="S116" s="31"/>
      <c r="T116" s="31"/>
      <c r="U116" s="31"/>
    </row>
    <row r="117" spans="1:21" ht="20.100000000000001" customHeight="1">
      <c r="A117" s="13"/>
      <c r="B117" s="13"/>
      <c r="C117" s="13"/>
      <c r="D117" s="13"/>
      <c r="E117" s="13"/>
      <c r="F117" s="16"/>
      <c r="G117" s="16"/>
      <c r="H117" s="16"/>
      <c r="I117" s="22" t="str">
        <f t="shared" si="3"/>
        <v/>
      </c>
      <c r="J117" s="16"/>
      <c r="K117" s="13"/>
      <c r="L117" s="13"/>
      <c r="M117" s="13"/>
      <c r="N117" s="13"/>
      <c r="O117" s="13"/>
      <c r="P117" s="13"/>
      <c r="Q117" s="31"/>
      <c r="R117" s="31"/>
      <c r="S117" s="31"/>
      <c r="T117" s="31"/>
      <c r="U117" s="31"/>
    </row>
    <row r="118" spans="1:21" ht="20.100000000000001" customHeight="1">
      <c r="A118" s="13"/>
      <c r="B118" s="13"/>
      <c r="C118" s="13"/>
      <c r="D118" s="13"/>
      <c r="E118" s="13"/>
      <c r="F118" s="16"/>
      <c r="G118" s="16"/>
      <c r="H118" s="16"/>
      <c r="I118" s="22" t="str">
        <f t="shared" si="3"/>
        <v/>
      </c>
      <c r="J118" s="16"/>
      <c r="K118" s="13"/>
      <c r="L118" s="13"/>
      <c r="M118" s="13"/>
      <c r="N118" s="13"/>
      <c r="O118" s="13"/>
      <c r="P118" s="13"/>
      <c r="Q118" s="31"/>
      <c r="R118" s="31"/>
      <c r="S118" s="31"/>
      <c r="T118" s="31"/>
      <c r="U118" s="31"/>
    </row>
    <row r="119" spans="1:21" ht="20.100000000000001" customHeight="1">
      <c r="A119" s="13"/>
      <c r="B119" s="13"/>
      <c r="C119" s="13"/>
      <c r="D119" s="13"/>
      <c r="E119" s="13"/>
      <c r="F119" s="16"/>
      <c r="G119" s="16"/>
      <c r="H119" s="16"/>
      <c r="I119" s="22" t="str">
        <f t="shared" si="3"/>
        <v/>
      </c>
      <c r="J119" s="16"/>
      <c r="K119" s="13"/>
      <c r="L119" s="13"/>
      <c r="M119" s="13"/>
      <c r="N119" s="13"/>
      <c r="O119" s="13"/>
      <c r="P119" s="13"/>
      <c r="Q119" s="31"/>
      <c r="R119" s="31"/>
      <c r="S119" s="31"/>
      <c r="T119" s="31"/>
      <c r="U119" s="31"/>
    </row>
    <row r="120" spans="1:21" ht="20.100000000000001" customHeight="1">
      <c r="A120" s="13"/>
      <c r="B120" s="13"/>
      <c r="C120" s="13"/>
      <c r="D120" s="13"/>
      <c r="E120" s="13"/>
      <c r="F120" s="16"/>
      <c r="G120" s="16"/>
      <c r="H120" s="16"/>
      <c r="I120" s="22" t="str">
        <f t="shared" si="3"/>
        <v/>
      </c>
      <c r="J120" s="16"/>
      <c r="K120" s="13"/>
      <c r="L120" s="13"/>
      <c r="M120" s="13"/>
      <c r="N120" s="13"/>
      <c r="O120" s="13"/>
      <c r="P120" s="13"/>
      <c r="Q120" s="31"/>
      <c r="R120" s="31"/>
      <c r="S120" s="31"/>
      <c r="T120" s="31"/>
      <c r="U120" s="31"/>
    </row>
    <row r="121" spans="1:21" ht="20.100000000000001" customHeight="1">
      <c r="A121" s="13"/>
      <c r="B121" s="13"/>
      <c r="C121" s="13"/>
      <c r="D121" s="13"/>
      <c r="E121" s="13"/>
      <c r="F121" s="16"/>
      <c r="G121" s="16"/>
      <c r="H121" s="16"/>
      <c r="I121" s="22" t="str">
        <f t="shared" si="3"/>
        <v/>
      </c>
      <c r="J121" s="16"/>
      <c r="K121" s="13"/>
      <c r="L121" s="13"/>
      <c r="M121" s="13"/>
      <c r="N121" s="13"/>
      <c r="O121" s="13"/>
      <c r="P121" s="13"/>
      <c r="Q121" s="31"/>
      <c r="R121" s="31"/>
      <c r="S121" s="31"/>
      <c r="T121" s="31"/>
      <c r="U121" s="31"/>
    </row>
    <row r="122" spans="1:21" ht="20.100000000000001" customHeight="1">
      <c r="A122" s="13"/>
      <c r="B122" s="13"/>
      <c r="C122" s="13"/>
      <c r="D122" s="13"/>
      <c r="E122" s="13"/>
      <c r="F122" s="16"/>
      <c r="G122" s="16"/>
      <c r="H122" s="16"/>
      <c r="I122" s="22" t="str">
        <f t="shared" si="3"/>
        <v/>
      </c>
      <c r="J122" s="16"/>
      <c r="K122" s="13"/>
      <c r="L122" s="13"/>
      <c r="M122" s="13"/>
      <c r="N122" s="13"/>
      <c r="O122" s="13"/>
      <c r="P122" s="13"/>
      <c r="Q122" s="31"/>
      <c r="R122" s="31"/>
      <c r="S122" s="31"/>
      <c r="T122" s="31"/>
      <c r="U122" s="31"/>
    </row>
    <row r="123" spans="1:21" ht="20.100000000000001" customHeight="1">
      <c r="A123" s="13"/>
      <c r="B123" s="13"/>
      <c r="C123" s="13"/>
      <c r="D123" s="13"/>
      <c r="E123" s="13"/>
      <c r="F123" s="16"/>
      <c r="G123" s="16"/>
      <c r="H123" s="16"/>
      <c r="I123" s="22" t="str">
        <f t="shared" si="3"/>
        <v/>
      </c>
      <c r="J123" s="16"/>
      <c r="K123" s="13"/>
      <c r="L123" s="13"/>
      <c r="M123" s="13"/>
      <c r="N123" s="13"/>
      <c r="O123" s="13"/>
      <c r="P123" s="13"/>
      <c r="Q123" s="31"/>
      <c r="R123" s="31"/>
      <c r="S123" s="31"/>
      <c r="T123" s="31"/>
      <c r="U123" s="31"/>
    </row>
    <row r="124" spans="1:21" ht="20.100000000000001" customHeight="1">
      <c r="A124" s="13"/>
      <c r="B124" s="13"/>
      <c r="C124" s="13"/>
      <c r="D124" s="13"/>
      <c r="E124" s="13"/>
      <c r="F124" s="16"/>
      <c r="G124" s="16"/>
      <c r="H124" s="16"/>
      <c r="I124" s="22" t="str">
        <f t="shared" si="3"/>
        <v/>
      </c>
      <c r="J124" s="16"/>
      <c r="K124" s="13"/>
      <c r="L124" s="13"/>
      <c r="M124" s="13"/>
      <c r="N124" s="13"/>
      <c r="O124" s="13"/>
      <c r="P124" s="13"/>
      <c r="Q124" s="31"/>
      <c r="R124" s="31"/>
      <c r="S124" s="31"/>
      <c r="T124" s="31"/>
      <c r="U124" s="31"/>
    </row>
    <row r="125" spans="1:21" ht="20.100000000000001" customHeight="1">
      <c r="A125" s="13"/>
      <c r="B125" s="13"/>
      <c r="C125" s="13"/>
      <c r="D125" s="13"/>
      <c r="E125" s="13"/>
      <c r="F125" s="16"/>
      <c r="G125" s="16"/>
      <c r="H125" s="16"/>
      <c r="I125" s="22" t="str">
        <f t="shared" si="3"/>
        <v/>
      </c>
      <c r="J125" s="16"/>
      <c r="K125" s="13"/>
      <c r="L125" s="13"/>
      <c r="M125" s="13"/>
      <c r="N125" s="13"/>
      <c r="O125" s="13"/>
      <c r="P125" s="13"/>
      <c r="Q125" s="31"/>
      <c r="R125" s="31"/>
      <c r="S125" s="31"/>
      <c r="T125" s="31"/>
      <c r="U125" s="31"/>
    </row>
    <row r="126" spans="1:21" ht="20.100000000000001" customHeight="1">
      <c r="A126" s="13"/>
      <c r="B126" s="13"/>
      <c r="C126" s="13"/>
      <c r="D126" s="13"/>
      <c r="E126" s="13"/>
      <c r="F126" s="16"/>
      <c r="G126" s="16"/>
      <c r="H126" s="16"/>
      <c r="I126" s="22" t="str">
        <f t="shared" si="3"/>
        <v/>
      </c>
      <c r="J126" s="16"/>
      <c r="K126" s="13"/>
      <c r="L126" s="13"/>
      <c r="M126" s="13"/>
      <c r="N126" s="13"/>
      <c r="O126" s="13"/>
      <c r="P126" s="13"/>
      <c r="Q126" s="31"/>
      <c r="R126" s="31"/>
      <c r="S126" s="31"/>
      <c r="T126" s="31"/>
      <c r="U126" s="31"/>
    </row>
    <row r="127" spans="1:21" ht="20.100000000000001" customHeight="1">
      <c r="A127" s="13"/>
      <c r="B127" s="13"/>
      <c r="C127" s="13"/>
      <c r="D127" s="13"/>
      <c r="E127" s="13"/>
      <c r="F127" s="16"/>
      <c r="G127" s="16"/>
      <c r="H127" s="16"/>
      <c r="I127" s="22" t="str">
        <f t="shared" si="3"/>
        <v/>
      </c>
      <c r="J127" s="16"/>
      <c r="K127" s="13"/>
      <c r="L127" s="13"/>
      <c r="M127" s="13"/>
      <c r="N127" s="13"/>
      <c r="O127" s="13"/>
      <c r="P127" s="13"/>
      <c r="Q127" s="31"/>
      <c r="R127" s="31"/>
      <c r="S127" s="31"/>
      <c r="T127" s="31"/>
      <c r="U127" s="31"/>
    </row>
    <row r="128" spans="1:21" ht="20.100000000000001" customHeight="1">
      <c r="A128" s="13"/>
      <c r="B128" s="13"/>
      <c r="C128" s="13"/>
      <c r="D128" s="13"/>
      <c r="E128" s="13"/>
      <c r="F128" s="16"/>
      <c r="G128" s="16"/>
      <c r="H128" s="16"/>
      <c r="I128" s="22" t="str">
        <f t="shared" si="3"/>
        <v/>
      </c>
      <c r="J128" s="16"/>
      <c r="K128" s="13"/>
      <c r="L128" s="13"/>
      <c r="M128" s="13"/>
      <c r="N128" s="13"/>
      <c r="O128" s="13"/>
      <c r="P128" s="13"/>
      <c r="Q128" s="31"/>
      <c r="R128" s="31"/>
      <c r="S128" s="31"/>
      <c r="T128" s="31"/>
      <c r="U128" s="31"/>
    </row>
    <row r="129" spans="1:21" ht="20.100000000000001" customHeight="1">
      <c r="A129" s="13"/>
      <c r="B129" s="13"/>
      <c r="C129" s="13"/>
      <c r="D129" s="13"/>
      <c r="E129" s="13"/>
      <c r="F129" s="16"/>
      <c r="G129" s="16"/>
      <c r="H129" s="16"/>
      <c r="I129" s="22" t="str">
        <f t="shared" si="3"/>
        <v/>
      </c>
      <c r="J129" s="16"/>
      <c r="K129" s="13"/>
      <c r="L129" s="13"/>
      <c r="M129" s="13"/>
      <c r="N129" s="13"/>
      <c r="O129" s="13"/>
      <c r="P129" s="13"/>
      <c r="Q129" s="31"/>
      <c r="R129" s="31"/>
      <c r="S129" s="31"/>
      <c r="T129" s="31"/>
      <c r="U129" s="31"/>
    </row>
    <row r="130" spans="1:21" ht="20.100000000000001" customHeight="1">
      <c r="A130" s="13"/>
      <c r="B130" s="13"/>
      <c r="C130" s="13"/>
      <c r="D130" s="13"/>
      <c r="E130" s="13"/>
      <c r="F130" s="16"/>
      <c r="G130" s="16"/>
      <c r="H130" s="16"/>
      <c r="I130" s="22" t="str">
        <f t="shared" si="3"/>
        <v/>
      </c>
      <c r="J130" s="16"/>
      <c r="K130" s="13"/>
      <c r="L130" s="13"/>
      <c r="M130" s="13"/>
      <c r="N130" s="13"/>
      <c r="O130" s="13"/>
      <c r="P130" s="13"/>
      <c r="Q130" s="31"/>
      <c r="R130" s="31"/>
      <c r="S130" s="31"/>
      <c r="T130" s="31"/>
      <c r="U130" s="31"/>
    </row>
    <row r="131" spans="1:21" ht="20.100000000000001" customHeight="1">
      <c r="A131" s="13"/>
      <c r="B131" s="13"/>
      <c r="C131" s="13"/>
      <c r="D131" s="13"/>
      <c r="E131" s="13"/>
      <c r="F131" s="16"/>
      <c r="G131" s="16"/>
      <c r="H131" s="16"/>
      <c r="I131" s="22" t="str">
        <f t="shared" si="3"/>
        <v/>
      </c>
      <c r="J131" s="16"/>
      <c r="K131" s="13"/>
      <c r="L131" s="13"/>
      <c r="M131" s="13"/>
      <c r="N131" s="13"/>
      <c r="O131" s="13"/>
      <c r="P131" s="13"/>
      <c r="Q131" s="31"/>
      <c r="R131" s="31"/>
      <c r="S131" s="31"/>
      <c r="T131" s="31"/>
      <c r="U131" s="31"/>
    </row>
    <row r="132" spans="1:21" ht="20.100000000000001" customHeight="1">
      <c r="A132" s="13"/>
      <c r="B132" s="13"/>
      <c r="C132" s="13"/>
      <c r="D132" s="13"/>
      <c r="E132" s="13"/>
      <c r="F132" s="16"/>
      <c r="G132" s="16"/>
      <c r="H132" s="16"/>
      <c r="I132" s="22" t="str">
        <f t="shared" si="3"/>
        <v/>
      </c>
      <c r="J132" s="16"/>
      <c r="K132" s="13"/>
      <c r="L132" s="13"/>
      <c r="M132" s="13"/>
      <c r="N132" s="13"/>
      <c r="O132" s="13"/>
      <c r="P132" s="13"/>
      <c r="Q132" s="31"/>
      <c r="R132" s="31"/>
      <c r="S132" s="31"/>
      <c r="T132" s="31"/>
      <c r="U132" s="31"/>
    </row>
    <row r="133" spans="1:21" ht="20.100000000000001" customHeight="1">
      <c r="A133" s="13"/>
      <c r="B133" s="13"/>
      <c r="C133" s="13"/>
      <c r="D133" s="13"/>
      <c r="E133" s="13"/>
      <c r="F133" s="16"/>
      <c r="G133" s="16"/>
      <c r="H133" s="16"/>
      <c r="I133" s="22" t="str">
        <f t="shared" si="3"/>
        <v/>
      </c>
      <c r="J133" s="16"/>
      <c r="K133" s="13"/>
      <c r="L133" s="13"/>
      <c r="M133" s="13"/>
      <c r="N133" s="13"/>
      <c r="O133" s="13"/>
      <c r="P133" s="13"/>
      <c r="Q133" s="31"/>
      <c r="R133" s="31"/>
      <c r="S133" s="31"/>
      <c r="T133" s="31"/>
      <c r="U133" s="31"/>
    </row>
    <row r="134" spans="1:21" ht="20.100000000000001" customHeight="1">
      <c r="A134" s="13"/>
      <c r="B134" s="13"/>
      <c r="C134" s="13"/>
      <c r="D134" s="13"/>
      <c r="E134" s="13"/>
      <c r="F134" s="16"/>
      <c r="G134" s="16"/>
      <c r="H134" s="16"/>
      <c r="I134" s="22" t="str">
        <f t="shared" ref="I134:I165" si="4">IF(A134="","",IF(OR(F134="",G134="",H134=""),"",F134*G134*H134))</f>
        <v/>
      </c>
      <c r="J134" s="16"/>
      <c r="K134" s="13"/>
      <c r="L134" s="13"/>
      <c r="M134" s="13"/>
      <c r="N134" s="13"/>
      <c r="O134" s="13"/>
      <c r="P134" s="13"/>
      <c r="Q134" s="31"/>
      <c r="R134" s="31"/>
      <c r="S134" s="31"/>
      <c r="T134" s="31"/>
      <c r="U134" s="31"/>
    </row>
    <row r="135" spans="1:21" ht="20.100000000000001" customHeight="1">
      <c r="A135" s="13"/>
      <c r="B135" s="13"/>
      <c r="C135" s="13"/>
      <c r="D135" s="13"/>
      <c r="E135" s="13"/>
      <c r="F135" s="16"/>
      <c r="G135" s="16"/>
      <c r="H135" s="16"/>
      <c r="I135" s="22" t="str">
        <f t="shared" si="4"/>
        <v/>
      </c>
      <c r="J135" s="16"/>
      <c r="K135" s="13"/>
      <c r="L135" s="13"/>
      <c r="M135" s="13"/>
      <c r="N135" s="13"/>
      <c r="O135" s="13"/>
      <c r="P135" s="13"/>
      <c r="Q135" s="31"/>
      <c r="R135" s="31"/>
      <c r="S135" s="31"/>
      <c r="T135" s="31"/>
      <c r="U135" s="31"/>
    </row>
    <row r="136" spans="1:21" ht="20.100000000000001" customHeight="1">
      <c r="A136" s="13"/>
      <c r="B136" s="13"/>
      <c r="C136" s="13"/>
      <c r="D136" s="13"/>
      <c r="E136" s="13"/>
      <c r="F136" s="16"/>
      <c r="G136" s="16"/>
      <c r="H136" s="16"/>
      <c r="I136" s="22" t="str">
        <f t="shared" si="4"/>
        <v/>
      </c>
      <c r="J136" s="16"/>
      <c r="K136" s="13"/>
      <c r="L136" s="13"/>
      <c r="M136" s="13"/>
      <c r="N136" s="13"/>
      <c r="O136" s="13"/>
      <c r="P136" s="13"/>
      <c r="Q136" s="31"/>
      <c r="R136" s="31"/>
      <c r="S136" s="31"/>
      <c r="T136" s="31"/>
      <c r="U136" s="31"/>
    </row>
    <row r="137" spans="1:21" ht="20.100000000000001" customHeight="1">
      <c r="A137" s="13"/>
      <c r="B137" s="13"/>
      <c r="C137" s="13"/>
      <c r="D137" s="13"/>
      <c r="E137" s="13"/>
      <c r="F137" s="16"/>
      <c r="G137" s="16"/>
      <c r="H137" s="16"/>
      <c r="I137" s="22" t="str">
        <f t="shared" si="4"/>
        <v/>
      </c>
      <c r="J137" s="16"/>
      <c r="K137" s="13"/>
      <c r="L137" s="13"/>
      <c r="M137" s="13"/>
      <c r="N137" s="13"/>
      <c r="O137" s="13"/>
      <c r="P137" s="13"/>
      <c r="Q137" s="31"/>
      <c r="R137" s="31"/>
      <c r="S137" s="31"/>
      <c r="T137" s="31"/>
      <c r="U137" s="31"/>
    </row>
    <row r="138" spans="1:21" ht="20.100000000000001" customHeight="1">
      <c r="A138" s="13"/>
      <c r="B138" s="13"/>
      <c r="C138" s="13"/>
      <c r="D138" s="13"/>
      <c r="E138" s="13"/>
      <c r="F138" s="16"/>
      <c r="G138" s="16"/>
      <c r="H138" s="16"/>
      <c r="I138" s="22" t="str">
        <f t="shared" si="4"/>
        <v/>
      </c>
      <c r="J138" s="16"/>
      <c r="K138" s="13"/>
      <c r="L138" s="13"/>
      <c r="M138" s="13"/>
      <c r="N138" s="13"/>
      <c r="O138" s="13"/>
      <c r="P138" s="13"/>
      <c r="Q138" s="31"/>
      <c r="R138" s="31"/>
      <c r="S138" s="31"/>
      <c r="T138" s="31"/>
      <c r="U138" s="31"/>
    </row>
    <row r="139" spans="1:21" ht="20.100000000000001" customHeight="1">
      <c r="A139" s="13"/>
      <c r="B139" s="13"/>
      <c r="C139" s="13"/>
      <c r="D139" s="13"/>
      <c r="E139" s="13"/>
      <c r="F139" s="16"/>
      <c r="G139" s="16"/>
      <c r="H139" s="16"/>
      <c r="I139" s="22" t="str">
        <f t="shared" si="4"/>
        <v/>
      </c>
      <c r="J139" s="16"/>
      <c r="K139" s="13"/>
      <c r="L139" s="13"/>
      <c r="M139" s="13"/>
      <c r="N139" s="13"/>
      <c r="O139" s="13"/>
      <c r="P139" s="13"/>
      <c r="Q139" s="31"/>
      <c r="R139" s="31"/>
      <c r="S139" s="31"/>
      <c r="T139" s="31"/>
      <c r="U139" s="31"/>
    </row>
    <row r="140" spans="1:21" ht="20.100000000000001" customHeight="1">
      <c r="A140" s="13"/>
      <c r="B140" s="13"/>
      <c r="C140" s="13"/>
      <c r="D140" s="13"/>
      <c r="E140" s="13"/>
      <c r="F140" s="16"/>
      <c r="G140" s="16"/>
      <c r="H140" s="16"/>
      <c r="I140" s="22" t="str">
        <f t="shared" si="4"/>
        <v/>
      </c>
      <c r="J140" s="16"/>
      <c r="K140" s="13"/>
      <c r="L140" s="13"/>
      <c r="M140" s="13"/>
      <c r="N140" s="13"/>
      <c r="O140" s="13"/>
      <c r="P140" s="13"/>
      <c r="Q140" s="31"/>
      <c r="R140" s="31"/>
      <c r="S140" s="31"/>
      <c r="T140" s="31"/>
      <c r="U140" s="31"/>
    </row>
    <row r="141" spans="1:21" ht="20.100000000000001" customHeight="1">
      <c r="A141" s="13"/>
      <c r="B141" s="13"/>
      <c r="C141" s="13"/>
      <c r="D141" s="13"/>
      <c r="E141" s="13"/>
      <c r="F141" s="16"/>
      <c r="G141" s="16"/>
      <c r="H141" s="16"/>
      <c r="I141" s="22" t="str">
        <f t="shared" si="4"/>
        <v/>
      </c>
      <c r="J141" s="16"/>
      <c r="K141" s="13"/>
      <c r="L141" s="13"/>
      <c r="M141" s="13"/>
      <c r="N141" s="13"/>
      <c r="O141" s="13"/>
      <c r="P141" s="13"/>
      <c r="Q141" s="31"/>
      <c r="R141" s="31"/>
      <c r="S141" s="31"/>
      <c r="T141" s="31"/>
      <c r="U141" s="31"/>
    </row>
    <row r="142" spans="1:21" ht="20.100000000000001" customHeight="1">
      <c r="A142" s="13"/>
      <c r="B142" s="13"/>
      <c r="C142" s="13"/>
      <c r="D142" s="13"/>
      <c r="E142" s="13"/>
      <c r="F142" s="16"/>
      <c r="G142" s="16"/>
      <c r="H142" s="16"/>
      <c r="I142" s="22" t="str">
        <f t="shared" si="4"/>
        <v/>
      </c>
      <c r="J142" s="16"/>
      <c r="K142" s="13"/>
      <c r="L142" s="13"/>
      <c r="M142" s="13"/>
      <c r="N142" s="13"/>
      <c r="O142" s="13"/>
      <c r="P142" s="13"/>
      <c r="Q142" s="31"/>
      <c r="R142" s="31"/>
      <c r="S142" s="31"/>
      <c r="T142" s="31"/>
      <c r="U142" s="31"/>
    </row>
    <row r="143" spans="1:21" ht="20.100000000000001" customHeight="1">
      <c r="A143" s="13"/>
      <c r="B143" s="13"/>
      <c r="C143" s="13"/>
      <c r="D143" s="13"/>
      <c r="E143" s="13"/>
      <c r="F143" s="16"/>
      <c r="G143" s="16"/>
      <c r="H143" s="16"/>
      <c r="I143" s="22" t="str">
        <f t="shared" si="4"/>
        <v/>
      </c>
      <c r="J143" s="16"/>
      <c r="K143" s="13"/>
      <c r="L143" s="13"/>
      <c r="M143" s="13"/>
      <c r="N143" s="13"/>
      <c r="O143" s="13"/>
      <c r="P143" s="13"/>
      <c r="Q143" s="31"/>
      <c r="R143" s="31"/>
      <c r="S143" s="31"/>
      <c r="T143" s="31"/>
      <c r="U143" s="31"/>
    </row>
    <row r="144" spans="1:21" ht="20.100000000000001" customHeight="1">
      <c r="A144" s="13"/>
      <c r="B144" s="13"/>
      <c r="C144" s="13"/>
      <c r="D144" s="13"/>
      <c r="E144" s="13"/>
      <c r="F144" s="16"/>
      <c r="G144" s="16"/>
      <c r="H144" s="16"/>
      <c r="I144" s="22" t="str">
        <f t="shared" si="4"/>
        <v/>
      </c>
      <c r="J144" s="16"/>
      <c r="K144" s="13"/>
      <c r="L144" s="13"/>
      <c r="M144" s="13"/>
      <c r="N144" s="13"/>
      <c r="O144" s="13"/>
      <c r="P144" s="13"/>
      <c r="Q144" s="31"/>
      <c r="R144" s="31"/>
      <c r="S144" s="31"/>
      <c r="T144" s="31"/>
      <c r="U144" s="31"/>
    </row>
    <row r="145" spans="1:21" ht="20.100000000000001" customHeight="1">
      <c r="A145" s="13"/>
      <c r="B145" s="13"/>
      <c r="C145" s="13"/>
      <c r="D145" s="13"/>
      <c r="E145" s="13"/>
      <c r="F145" s="16"/>
      <c r="G145" s="16"/>
      <c r="H145" s="16"/>
      <c r="I145" s="22" t="str">
        <f t="shared" si="4"/>
        <v/>
      </c>
      <c r="J145" s="16"/>
      <c r="K145" s="13"/>
      <c r="L145" s="13"/>
      <c r="M145" s="13"/>
      <c r="N145" s="13"/>
      <c r="O145" s="13"/>
      <c r="P145" s="13"/>
      <c r="Q145" s="31"/>
      <c r="R145" s="31"/>
      <c r="S145" s="31"/>
      <c r="T145" s="31"/>
      <c r="U145" s="31"/>
    </row>
    <row r="146" spans="1:21" ht="20.100000000000001" customHeight="1">
      <c r="A146" s="13"/>
      <c r="B146" s="13"/>
      <c r="C146" s="13"/>
      <c r="D146" s="13"/>
      <c r="E146" s="13"/>
      <c r="F146" s="16"/>
      <c r="G146" s="16"/>
      <c r="H146" s="16"/>
      <c r="I146" s="22" t="str">
        <f t="shared" si="4"/>
        <v/>
      </c>
      <c r="J146" s="16"/>
      <c r="K146" s="13"/>
      <c r="L146" s="13"/>
      <c r="M146" s="13"/>
      <c r="N146" s="13"/>
      <c r="O146" s="13"/>
      <c r="P146" s="13"/>
      <c r="Q146" s="31"/>
      <c r="R146" s="31"/>
      <c r="S146" s="31"/>
      <c r="T146" s="31"/>
      <c r="U146" s="31"/>
    </row>
    <row r="147" spans="1:21" ht="20.100000000000001" customHeight="1">
      <c r="A147" s="13"/>
      <c r="B147" s="13"/>
      <c r="C147" s="13"/>
      <c r="D147" s="13"/>
      <c r="E147" s="13"/>
      <c r="F147" s="16"/>
      <c r="G147" s="16"/>
      <c r="H147" s="16"/>
      <c r="I147" s="22" t="str">
        <f t="shared" si="4"/>
        <v/>
      </c>
      <c r="J147" s="16"/>
      <c r="K147" s="13"/>
      <c r="L147" s="13"/>
      <c r="M147" s="13"/>
      <c r="N147" s="13"/>
      <c r="O147" s="13"/>
      <c r="P147" s="13"/>
      <c r="Q147" s="31"/>
      <c r="R147" s="31"/>
      <c r="S147" s="31"/>
      <c r="T147" s="31"/>
      <c r="U147" s="31"/>
    </row>
    <row r="148" spans="1:21" ht="20.100000000000001" customHeight="1">
      <c r="A148" s="13"/>
      <c r="B148" s="13"/>
      <c r="C148" s="13"/>
      <c r="D148" s="13"/>
      <c r="E148" s="13"/>
      <c r="F148" s="16"/>
      <c r="G148" s="16"/>
      <c r="H148" s="16"/>
      <c r="I148" s="22" t="str">
        <f t="shared" si="4"/>
        <v/>
      </c>
      <c r="J148" s="16"/>
      <c r="K148" s="13"/>
      <c r="L148" s="13"/>
      <c r="M148" s="13"/>
      <c r="N148" s="13"/>
      <c r="O148" s="13"/>
      <c r="P148" s="13"/>
      <c r="Q148" s="31"/>
      <c r="R148" s="31"/>
      <c r="S148" s="31"/>
      <c r="T148" s="31"/>
      <c r="U148" s="31"/>
    </row>
    <row r="149" spans="1:21" ht="20.100000000000001" customHeight="1">
      <c r="A149" s="13"/>
      <c r="B149" s="13"/>
      <c r="C149" s="13"/>
      <c r="D149" s="13"/>
      <c r="E149" s="13"/>
      <c r="F149" s="16"/>
      <c r="G149" s="16"/>
      <c r="H149" s="16"/>
      <c r="I149" s="22" t="str">
        <f t="shared" si="4"/>
        <v/>
      </c>
      <c r="J149" s="16"/>
      <c r="K149" s="13"/>
      <c r="L149" s="13"/>
      <c r="M149" s="13"/>
      <c r="N149" s="13"/>
      <c r="O149" s="13"/>
      <c r="P149" s="13"/>
      <c r="Q149" s="31"/>
      <c r="R149" s="31"/>
      <c r="S149" s="31"/>
      <c r="T149" s="31"/>
      <c r="U149" s="31"/>
    </row>
    <row r="150" spans="1:21" ht="20.100000000000001" customHeight="1">
      <c r="A150" s="13"/>
      <c r="B150" s="13"/>
      <c r="C150" s="13"/>
      <c r="D150" s="13"/>
      <c r="E150" s="13"/>
      <c r="F150" s="16"/>
      <c r="G150" s="16"/>
      <c r="H150" s="16"/>
      <c r="I150" s="22" t="str">
        <f t="shared" si="4"/>
        <v/>
      </c>
      <c r="J150" s="16"/>
      <c r="K150" s="13"/>
      <c r="L150" s="13"/>
      <c r="M150" s="13"/>
      <c r="N150" s="13"/>
      <c r="O150" s="13"/>
      <c r="P150" s="13"/>
      <c r="Q150" s="31"/>
      <c r="R150" s="31"/>
      <c r="S150" s="31"/>
      <c r="T150" s="31"/>
      <c r="U150" s="31"/>
    </row>
    <row r="151" spans="1:21" ht="20.100000000000001" customHeight="1">
      <c r="A151" s="13"/>
      <c r="B151" s="13"/>
      <c r="C151" s="13"/>
      <c r="D151" s="13"/>
      <c r="E151" s="13"/>
      <c r="F151" s="16"/>
      <c r="G151" s="16"/>
      <c r="H151" s="16"/>
      <c r="I151" s="22" t="str">
        <f t="shared" si="4"/>
        <v/>
      </c>
      <c r="J151" s="16"/>
      <c r="K151" s="13"/>
      <c r="L151" s="13"/>
      <c r="M151" s="13"/>
      <c r="N151" s="13"/>
      <c r="O151" s="13"/>
      <c r="P151" s="13"/>
      <c r="Q151" s="31"/>
      <c r="R151" s="31"/>
      <c r="S151" s="31"/>
      <c r="T151" s="31"/>
      <c r="U151" s="31"/>
    </row>
    <row r="152" spans="1:21" ht="20.100000000000001" customHeight="1">
      <c r="A152" s="13"/>
      <c r="B152" s="13"/>
      <c r="C152" s="13"/>
      <c r="D152" s="13"/>
      <c r="E152" s="13"/>
      <c r="F152" s="16"/>
      <c r="G152" s="16"/>
      <c r="H152" s="16"/>
      <c r="I152" s="22" t="str">
        <f t="shared" si="4"/>
        <v/>
      </c>
      <c r="J152" s="16"/>
      <c r="K152" s="13"/>
      <c r="L152" s="13"/>
      <c r="M152" s="13"/>
      <c r="N152" s="13"/>
      <c r="O152" s="13"/>
      <c r="P152" s="13"/>
      <c r="Q152" s="31"/>
      <c r="R152" s="31"/>
      <c r="S152" s="31"/>
      <c r="T152" s="31"/>
      <c r="U152" s="31"/>
    </row>
    <row r="153" spans="1:21" ht="20.100000000000001" customHeight="1">
      <c r="A153" s="13"/>
      <c r="B153" s="13"/>
      <c r="C153" s="13"/>
      <c r="D153" s="13"/>
      <c r="E153" s="13"/>
      <c r="F153" s="16"/>
      <c r="G153" s="16"/>
      <c r="H153" s="16"/>
      <c r="I153" s="22" t="str">
        <f t="shared" si="4"/>
        <v/>
      </c>
      <c r="J153" s="16"/>
      <c r="K153" s="13"/>
      <c r="L153" s="13"/>
      <c r="M153" s="13"/>
      <c r="N153" s="13"/>
      <c r="O153" s="13"/>
      <c r="P153" s="13"/>
      <c r="Q153" s="31"/>
      <c r="R153" s="31"/>
      <c r="S153" s="31"/>
      <c r="T153" s="31"/>
      <c r="U153" s="31"/>
    </row>
    <row r="154" spans="1:21" ht="20.100000000000001" customHeight="1">
      <c r="A154" s="13"/>
      <c r="B154" s="13"/>
      <c r="C154" s="13"/>
      <c r="D154" s="13"/>
      <c r="E154" s="13"/>
      <c r="F154" s="16"/>
      <c r="G154" s="16"/>
      <c r="H154" s="16"/>
      <c r="I154" s="22" t="str">
        <f t="shared" si="4"/>
        <v/>
      </c>
      <c r="J154" s="16"/>
      <c r="K154" s="13"/>
      <c r="L154" s="13"/>
      <c r="M154" s="13"/>
      <c r="N154" s="13"/>
      <c r="O154" s="13"/>
      <c r="P154" s="13"/>
      <c r="Q154" s="31"/>
      <c r="R154" s="31"/>
      <c r="S154" s="31"/>
      <c r="T154" s="31"/>
      <c r="U154" s="31"/>
    </row>
    <row r="155" spans="1:21" ht="20.100000000000001" customHeight="1">
      <c r="A155" s="13"/>
      <c r="B155" s="13"/>
      <c r="C155" s="13"/>
      <c r="D155" s="13"/>
      <c r="E155" s="13"/>
      <c r="F155" s="16"/>
      <c r="G155" s="16"/>
      <c r="H155" s="16"/>
      <c r="I155" s="22" t="str">
        <f t="shared" si="4"/>
        <v/>
      </c>
      <c r="J155" s="16"/>
      <c r="K155" s="13"/>
      <c r="L155" s="13"/>
      <c r="M155" s="13"/>
      <c r="N155" s="13"/>
      <c r="O155" s="13"/>
      <c r="P155" s="13"/>
      <c r="Q155" s="31"/>
      <c r="R155" s="31"/>
      <c r="S155" s="31"/>
      <c r="T155" s="31"/>
      <c r="U155" s="31"/>
    </row>
    <row r="156" spans="1:21" ht="20.100000000000001" customHeight="1">
      <c r="A156" s="13"/>
      <c r="B156" s="13"/>
      <c r="C156" s="13"/>
      <c r="D156" s="13"/>
      <c r="E156" s="13"/>
      <c r="F156" s="16"/>
      <c r="G156" s="16"/>
      <c r="H156" s="16"/>
      <c r="I156" s="22" t="str">
        <f t="shared" si="4"/>
        <v/>
      </c>
      <c r="J156" s="16"/>
      <c r="K156" s="13"/>
      <c r="L156" s="13"/>
      <c r="M156" s="13"/>
      <c r="N156" s="13"/>
      <c r="O156" s="13"/>
      <c r="P156" s="13"/>
      <c r="Q156" s="31"/>
      <c r="R156" s="31"/>
      <c r="S156" s="31"/>
      <c r="T156" s="31"/>
      <c r="U156" s="31"/>
    </row>
    <row r="157" spans="1:21" ht="20.100000000000001" customHeight="1">
      <c r="A157" s="13"/>
      <c r="B157" s="13"/>
      <c r="C157" s="13"/>
      <c r="D157" s="13"/>
      <c r="E157" s="13"/>
      <c r="F157" s="16"/>
      <c r="G157" s="16"/>
      <c r="H157" s="16"/>
      <c r="I157" s="22" t="str">
        <f t="shared" si="4"/>
        <v/>
      </c>
      <c r="J157" s="16"/>
      <c r="K157" s="13"/>
      <c r="L157" s="13"/>
      <c r="M157" s="13"/>
      <c r="N157" s="13"/>
      <c r="O157" s="13"/>
      <c r="P157" s="13"/>
      <c r="Q157" s="31"/>
      <c r="R157" s="31"/>
      <c r="S157" s="31"/>
      <c r="T157" s="31"/>
      <c r="U157" s="31"/>
    </row>
    <row r="158" spans="1:21" ht="20.100000000000001" customHeight="1">
      <c r="A158" s="13"/>
      <c r="B158" s="13"/>
      <c r="C158" s="13"/>
      <c r="D158" s="13"/>
      <c r="E158" s="13"/>
      <c r="F158" s="16"/>
      <c r="G158" s="16"/>
      <c r="H158" s="16"/>
      <c r="I158" s="22" t="str">
        <f t="shared" si="4"/>
        <v/>
      </c>
      <c r="J158" s="16"/>
      <c r="K158" s="13"/>
      <c r="L158" s="13"/>
      <c r="M158" s="13"/>
      <c r="N158" s="13"/>
      <c r="O158" s="13"/>
      <c r="P158" s="13"/>
      <c r="Q158" s="31"/>
      <c r="R158" s="31"/>
      <c r="S158" s="31"/>
      <c r="T158" s="31"/>
      <c r="U158" s="31"/>
    </row>
    <row r="159" spans="1:21" ht="20.100000000000001" customHeight="1">
      <c r="A159" s="13"/>
      <c r="B159" s="13"/>
      <c r="C159" s="13"/>
      <c r="D159" s="13"/>
      <c r="E159" s="13"/>
      <c r="F159" s="16"/>
      <c r="G159" s="16"/>
      <c r="H159" s="16"/>
      <c r="I159" s="22" t="str">
        <f t="shared" si="4"/>
        <v/>
      </c>
      <c r="J159" s="16"/>
      <c r="K159" s="13"/>
      <c r="L159" s="13"/>
      <c r="M159" s="13"/>
      <c r="N159" s="13"/>
      <c r="O159" s="13"/>
      <c r="P159" s="13"/>
      <c r="Q159" s="31"/>
      <c r="R159" s="31"/>
      <c r="S159" s="31"/>
      <c r="T159" s="31"/>
      <c r="U159" s="31"/>
    </row>
    <row r="160" spans="1:21" ht="20.100000000000001" customHeight="1">
      <c r="A160" s="13"/>
      <c r="B160" s="13"/>
      <c r="C160" s="13"/>
      <c r="D160" s="13"/>
      <c r="E160" s="13"/>
      <c r="F160" s="16"/>
      <c r="G160" s="16"/>
      <c r="H160" s="16"/>
      <c r="I160" s="22" t="str">
        <f t="shared" si="4"/>
        <v/>
      </c>
      <c r="J160" s="16"/>
      <c r="K160" s="13"/>
      <c r="L160" s="13"/>
      <c r="M160" s="13"/>
      <c r="N160" s="13"/>
      <c r="O160" s="13"/>
      <c r="P160" s="13"/>
      <c r="Q160" s="31"/>
      <c r="R160" s="31"/>
      <c r="S160" s="31"/>
      <c r="T160" s="31"/>
      <c r="U160" s="31"/>
    </row>
    <row r="161" spans="1:21" ht="20.100000000000001" customHeight="1">
      <c r="A161" s="13"/>
      <c r="B161" s="13"/>
      <c r="C161" s="13"/>
      <c r="D161" s="13"/>
      <c r="E161" s="13"/>
      <c r="F161" s="16"/>
      <c r="G161" s="16"/>
      <c r="H161" s="16"/>
      <c r="I161" s="22" t="str">
        <f t="shared" si="4"/>
        <v/>
      </c>
      <c r="J161" s="16"/>
      <c r="K161" s="13"/>
      <c r="L161" s="13"/>
      <c r="M161" s="13"/>
      <c r="N161" s="13"/>
      <c r="O161" s="13"/>
      <c r="P161" s="13"/>
      <c r="Q161" s="31"/>
      <c r="R161" s="31"/>
      <c r="S161" s="31"/>
      <c r="T161" s="31"/>
      <c r="U161" s="31"/>
    </row>
    <row r="162" spans="1:21" ht="20.100000000000001" customHeight="1">
      <c r="A162" s="13"/>
      <c r="B162" s="13"/>
      <c r="C162" s="13"/>
      <c r="D162" s="13"/>
      <c r="E162" s="13"/>
      <c r="F162" s="16"/>
      <c r="G162" s="16"/>
      <c r="H162" s="16"/>
      <c r="I162" s="22" t="str">
        <f t="shared" si="4"/>
        <v/>
      </c>
      <c r="J162" s="16"/>
      <c r="K162" s="13"/>
      <c r="L162" s="13"/>
      <c r="M162" s="13"/>
      <c r="N162" s="13"/>
      <c r="O162" s="13"/>
      <c r="P162" s="13"/>
      <c r="Q162" s="31"/>
      <c r="R162" s="31"/>
      <c r="S162" s="31"/>
      <c r="T162" s="31"/>
      <c r="U162" s="31"/>
    </row>
    <row r="163" spans="1:21" ht="20.100000000000001" customHeight="1">
      <c r="A163" s="13"/>
      <c r="B163" s="13"/>
      <c r="C163" s="13"/>
      <c r="D163" s="13"/>
      <c r="E163" s="13"/>
      <c r="F163" s="16"/>
      <c r="G163" s="16"/>
      <c r="H163" s="16"/>
      <c r="I163" s="22" t="str">
        <f t="shared" si="4"/>
        <v/>
      </c>
      <c r="J163" s="16"/>
      <c r="K163" s="13"/>
      <c r="L163" s="13"/>
      <c r="M163" s="13"/>
      <c r="N163" s="13"/>
      <c r="O163" s="13"/>
      <c r="P163" s="13"/>
      <c r="Q163" s="31"/>
      <c r="R163" s="31"/>
      <c r="S163" s="31"/>
      <c r="T163" s="31"/>
      <c r="U163" s="31"/>
    </row>
    <row r="164" spans="1:21" ht="20.100000000000001" customHeight="1">
      <c r="A164" s="13"/>
      <c r="B164" s="13"/>
      <c r="C164" s="13"/>
      <c r="D164" s="13"/>
      <c r="E164" s="13"/>
      <c r="F164" s="16"/>
      <c r="G164" s="16"/>
      <c r="H164" s="16"/>
      <c r="I164" s="22" t="str">
        <f t="shared" si="4"/>
        <v/>
      </c>
      <c r="J164" s="16"/>
      <c r="K164" s="13"/>
      <c r="L164" s="13"/>
      <c r="M164" s="13"/>
      <c r="N164" s="13"/>
      <c r="O164" s="13"/>
      <c r="P164" s="13"/>
      <c r="Q164" s="31"/>
      <c r="R164" s="31"/>
      <c r="S164" s="31"/>
      <c r="T164" s="31"/>
      <c r="U164" s="31"/>
    </row>
    <row r="165" spans="1:21" ht="20.100000000000001" customHeight="1">
      <c r="A165" s="13"/>
      <c r="B165" s="13"/>
      <c r="C165" s="13"/>
      <c r="D165" s="13"/>
      <c r="E165" s="13"/>
      <c r="F165" s="16"/>
      <c r="G165" s="16"/>
      <c r="H165" s="16"/>
      <c r="I165" s="22" t="str">
        <f t="shared" si="4"/>
        <v/>
      </c>
      <c r="J165" s="16"/>
      <c r="K165" s="13"/>
      <c r="L165" s="13"/>
      <c r="M165" s="13"/>
      <c r="N165" s="13"/>
      <c r="O165" s="13"/>
      <c r="P165" s="13"/>
      <c r="Q165" s="31"/>
      <c r="R165" s="31"/>
      <c r="S165" s="31"/>
      <c r="T165" s="31"/>
      <c r="U165" s="31"/>
    </row>
    <row r="166" spans="1:21" ht="20.100000000000001" customHeight="1">
      <c r="A166" s="13"/>
      <c r="B166" s="13"/>
      <c r="C166" s="13"/>
      <c r="D166" s="13"/>
      <c r="E166" s="13"/>
      <c r="F166" s="16"/>
      <c r="G166" s="16"/>
      <c r="H166" s="16"/>
      <c r="I166" s="22" t="str">
        <f t="shared" ref="I166:I197" si="5">IF(A166="","",IF(OR(F166="",G166="",H166=""),"",F166*G166*H166))</f>
        <v/>
      </c>
      <c r="J166" s="16"/>
      <c r="K166" s="13"/>
      <c r="L166" s="13"/>
      <c r="M166" s="13"/>
      <c r="N166" s="13"/>
      <c r="O166" s="13"/>
      <c r="P166" s="13"/>
      <c r="Q166" s="31"/>
      <c r="R166" s="31"/>
      <c r="S166" s="31"/>
      <c r="T166" s="31"/>
      <c r="U166" s="31"/>
    </row>
    <row r="167" spans="1:21" ht="20.100000000000001" customHeight="1">
      <c r="A167" s="13"/>
      <c r="B167" s="13"/>
      <c r="C167" s="13"/>
      <c r="D167" s="13"/>
      <c r="E167" s="13"/>
      <c r="F167" s="16"/>
      <c r="G167" s="16"/>
      <c r="H167" s="16"/>
      <c r="I167" s="22" t="str">
        <f t="shared" si="5"/>
        <v/>
      </c>
      <c r="J167" s="16"/>
      <c r="K167" s="13"/>
      <c r="L167" s="13"/>
      <c r="M167" s="13"/>
      <c r="N167" s="13"/>
      <c r="O167" s="13"/>
      <c r="P167" s="13"/>
      <c r="Q167" s="31"/>
      <c r="R167" s="31"/>
      <c r="S167" s="31"/>
      <c r="T167" s="31"/>
      <c r="U167" s="31"/>
    </row>
    <row r="168" spans="1:21" ht="20.100000000000001" customHeight="1">
      <c r="A168" s="13"/>
      <c r="B168" s="13"/>
      <c r="C168" s="13"/>
      <c r="D168" s="13"/>
      <c r="E168" s="13"/>
      <c r="F168" s="16"/>
      <c r="G168" s="16"/>
      <c r="H168" s="16"/>
      <c r="I168" s="22" t="str">
        <f t="shared" si="5"/>
        <v/>
      </c>
      <c r="J168" s="16"/>
      <c r="K168" s="13"/>
      <c r="L168" s="13"/>
      <c r="M168" s="13"/>
      <c r="N168" s="13"/>
      <c r="O168" s="13"/>
      <c r="P168" s="13"/>
      <c r="Q168" s="31"/>
      <c r="R168" s="31"/>
      <c r="S168" s="31"/>
      <c r="T168" s="31"/>
      <c r="U168" s="31"/>
    </row>
    <row r="169" spans="1:21" ht="20.100000000000001" customHeight="1">
      <c r="A169" s="13"/>
      <c r="B169" s="13"/>
      <c r="C169" s="13"/>
      <c r="D169" s="13"/>
      <c r="E169" s="13"/>
      <c r="F169" s="16"/>
      <c r="G169" s="16"/>
      <c r="H169" s="16"/>
      <c r="I169" s="22" t="str">
        <f t="shared" si="5"/>
        <v/>
      </c>
      <c r="J169" s="16"/>
      <c r="K169" s="13"/>
      <c r="L169" s="13"/>
      <c r="M169" s="13"/>
      <c r="N169" s="13"/>
      <c r="O169" s="13"/>
      <c r="P169" s="13"/>
      <c r="Q169" s="31"/>
      <c r="R169" s="31"/>
      <c r="S169" s="31"/>
      <c r="T169" s="31"/>
      <c r="U169" s="31"/>
    </row>
    <row r="170" spans="1:21" ht="20.100000000000001" customHeight="1">
      <c r="A170" s="13"/>
      <c r="B170" s="13"/>
      <c r="C170" s="13"/>
      <c r="D170" s="13"/>
      <c r="E170" s="13"/>
      <c r="F170" s="16"/>
      <c r="G170" s="16"/>
      <c r="H170" s="16"/>
      <c r="I170" s="22" t="str">
        <f t="shared" si="5"/>
        <v/>
      </c>
      <c r="J170" s="16"/>
      <c r="K170" s="13"/>
      <c r="L170" s="13"/>
      <c r="M170" s="13"/>
      <c r="N170" s="13"/>
      <c r="O170" s="13"/>
      <c r="P170" s="13"/>
      <c r="Q170" s="31"/>
      <c r="R170" s="31"/>
      <c r="S170" s="31"/>
      <c r="T170" s="31"/>
      <c r="U170" s="31"/>
    </row>
    <row r="171" spans="1:21" ht="20.100000000000001" customHeight="1">
      <c r="A171" s="13"/>
      <c r="B171" s="13"/>
      <c r="C171" s="13"/>
      <c r="D171" s="13"/>
      <c r="E171" s="13"/>
      <c r="F171" s="16"/>
      <c r="G171" s="16"/>
      <c r="H171" s="16"/>
      <c r="I171" s="22" t="str">
        <f t="shared" si="5"/>
        <v/>
      </c>
      <c r="J171" s="16"/>
      <c r="K171" s="13"/>
      <c r="L171" s="13"/>
      <c r="M171" s="13"/>
      <c r="N171" s="13"/>
      <c r="O171" s="13"/>
      <c r="P171" s="13"/>
      <c r="Q171" s="31"/>
      <c r="R171" s="31"/>
      <c r="S171" s="31"/>
      <c r="T171" s="31"/>
      <c r="U171" s="31"/>
    </row>
    <row r="172" spans="1:21" ht="20.100000000000001" customHeight="1">
      <c r="A172" s="13"/>
      <c r="B172" s="13"/>
      <c r="C172" s="13"/>
      <c r="D172" s="13"/>
      <c r="E172" s="13"/>
      <c r="F172" s="16"/>
      <c r="G172" s="16"/>
      <c r="H172" s="16"/>
      <c r="I172" s="22" t="str">
        <f t="shared" si="5"/>
        <v/>
      </c>
      <c r="J172" s="16"/>
      <c r="K172" s="13"/>
      <c r="L172" s="13"/>
      <c r="M172" s="13"/>
      <c r="N172" s="13"/>
      <c r="O172" s="13"/>
      <c r="P172" s="13"/>
      <c r="Q172" s="31"/>
      <c r="R172" s="31"/>
      <c r="S172" s="31"/>
      <c r="T172" s="31"/>
      <c r="U172" s="31"/>
    </row>
    <row r="173" spans="1:21" ht="20.100000000000001" customHeight="1">
      <c r="A173" s="13"/>
      <c r="B173" s="13"/>
      <c r="C173" s="13"/>
      <c r="D173" s="13"/>
      <c r="E173" s="13"/>
      <c r="F173" s="16"/>
      <c r="G173" s="16"/>
      <c r="H173" s="16"/>
      <c r="I173" s="22" t="str">
        <f t="shared" si="5"/>
        <v/>
      </c>
      <c r="J173" s="16"/>
      <c r="K173" s="13"/>
      <c r="L173" s="13"/>
      <c r="M173" s="13"/>
      <c r="N173" s="13"/>
      <c r="O173" s="13"/>
      <c r="P173" s="13"/>
      <c r="Q173" s="31"/>
      <c r="R173" s="31"/>
      <c r="S173" s="31"/>
      <c r="T173" s="31"/>
      <c r="U173" s="31"/>
    </row>
    <row r="174" spans="1:21" ht="20.100000000000001" customHeight="1">
      <c r="A174" s="13"/>
      <c r="B174" s="13"/>
      <c r="C174" s="13"/>
      <c r="D174" s="13"/>
      <c r="E174" s="13"/>
      <c r="F174" s="16"/>
      <c r="G174" s="16"/>
      <c r="H174" s="16"/>
      <c r="I174" s="22" t="str">
        <f t="shared" si="5"/>
        <v/>
      </c>
      <c r="J174" s="16"/>
      <c r="K174" s="13"/>
      <c r="L174" s="13"/>
      <c r="M174" s="13"/>
      <c r="N174" s="13"/>
      <c r="O174" s="13"/>
      <c r="P174" s="13"/>
      <c r="Q174" s="31"/>
      <c r="R174" s="31"/>
      <c r="S174" s="31"/>
      <c r="T174" s="31"/>
      <c r="U174" s="31"/>
    </row>
    <row r="175" spans="1:21" ht="20.100000000000001" customHeight="1">
      <c r="A175" s="13"/>
      <c r="B175" s="13"/>
      <c r="C175" s="13"/>
      <c r="D175" s="13"/>
      <c r="E175" s="13"/>
      <c r="F175" s="16"/>
      <c r="G175" s="16"/>
      <c r="H175" s="16"/>
      <c r="I175" s="22" t="str">
        <f t="shared" si="5"/>
        <v/>
      </c>
      <c r="J175" s="16"/>
      <c r="K175" s="13"/>
      <c r="L175" s="13"/>
      <c r="M175" s="13"/>
      <c r="N175" s="13"/>
      <c r="O175" s="13"/>
      <c r="P175" s="13"/>
      <c r="Q175" s="31"/>
      <c r="R175" s="31"/>
      <c r="S175" s="31"/>
      <c r="T175" s="31"/>
      <c r="U175" s="31"/>
    </row>
    <row r="176" spans="1:21" ht="20.100000000000001" customHeight="1">
      <c r="A176" s="13"/>
      <c r="B176" s="13"/>
      <c r="C176" s="13"/>
      <c r="D176" s="13"/>
      <c r="E176" s="13"/>
      <c r="F176" s="16"/>
      <c r="G176" s="16"/>
      <c r="H176" s="16"/>
      <c r="I176" s="22" t="str">
        <f t="shared" si="5"/>
        <v/>
      </c>
      <c r="J176" s="16"/>
      <c r="K176" s="13"/>
      <c r="L176" s="13"/>
      <c r="M176" s="13"/>
      <c r="N176" s="13"/>
      <c r="O176" s="13"/>
      <c r="P176" s="13"/>
      <c r="Q176" s="31"/>
      <c r="R176" s="31"/>
      <c r="S176" s="31"/>
      <c r="T176" s="31"/>
      <c r="U176" s="31"/>
    </row>
    <row r="177" spans="1:21" ht="20.100000000000001" customHeight="1">
      <c r="A177" s="13"/>
      <c r="B177" s="13"/>
      <c r="C177" s="13"/>
      <c r="D177" s="13"/>
      <c r="E177" s="13"/>
      <c r="F177" s="16"/>
      <c r="G177" s="16"/>
      <c r="H177" s="16"/>
      <c r="I177" s="22" t="str">
        <f t="shared" si="5"/>
        <v/>
      </c>
      <c r="J177" s="16"/>
      <c r="K177" s="13"/>
      <c r="L177" s="13"/>
      <c r="M177" s="13"/>
      <c r="N177" s="13"/>
      <c r="O177" s="13"/>
      <c r="P177" s="13"/>
      <c r="Q177" s="31"/>
      <c r="R177" s="31"/>
      <c r="S177" s="31"/>
      <c r="T177" s="31"/>
      <c r="U177" s="31"/>
    </row>
    <row r="178" spans="1:21" ht="20.100000000000001" customHeight="1">
      <c r="A178" s="13"/>
      <c r="B178" s="13"/>
      <c r="C178" s="13"/>
      <c r="D178" s="13"/>
      <c r="E178" s="13"/>
      <c r="F178" s="16"/>
      <c r="G178" s="16"/>
      <c r="H178" s="16"/>
      <c r="I178" s="22" t="str">
        <f t="shared" si="5"/>
        <v/>
      </c>
      <c r="J178" s="16"/>
      <c r="K178" s="13"/>
      <c r="L178" s="13"/>
      <c r="M178" s="13"/>
      <c r="N178" s="13"/>
      <c r="O178" s="13"/>
      <c r="P178" s="13"/>
      <c r="Q178" s="31"/>
      <c r="R178" s="31"/>
      <c r="S178" s="31"/>
      <c r="T178" s="31"/>
      <c r="U178" s="31"/>
    </row>
    <row r="179" spans="1:21" ht="20.100000000000001" customHeight="1">
      <c r="A179" s="13"/>
      <c r="B179" s="13"/>
      <c r="C179" s="13"/>
      <c r="D179" s="13"/>
      <c r="E179" s="13"/>
      <c r="F179" s="16"/>
      <c r="G179" s="16"/>
      <c r="H179" s="16"/>
      <c r="I179" s="22" t="str">
        <f t="shared" si="5"/>
        <v/>
      </c>
      <c r="J179" s="16"/>
      <c r="K179" s="13"/>
      <c r="L179" s="13"/>
      <c r="M179" s="13"/>
      <c r="N179" s="13"/>
      <c r="O179" s="13"/>
      <c r="P179" s="13"/>
      <c r="Q179" s="31"/>
      <c r="R179" s="31"/>
      <c r="S179" s="31"/>
      <c r="T179" s="31"/>
      <c r="U179" s="31"/>
    </row>
    <row r="180" spans="1:21" ht="20.100000000000001" customHeight="1">
      <c r="A180" s="13"/>
      <c r="B180" s="13"/>
      <c r="C180" s="13"/>
      <c r="D180" s="13"/>
      <c r="E180" s="13"/>
      <c r="F180" s="16"/>
      <c r="G180" s="16"/>
      <c r="H180" s="16"/>
      <c r="I180" s="22" t="str">
        <f t="shared" si="5"/>
        <v/>
      </c>
      <c r="J180" s="16"/>
      <c r="K180" s="13"/>
      <c r="L180" s="13"/>
      <c r="M180" s="13"/>
      <c r="N180" s="13"/>
      <c r="O180" s="13"/>
      <c r="P180" s="13"/>
      <c r="Q180" s="31"/>
      <c r="R180" s="31"/>
      <c r="S180" s="31"/>
      <c r="T180" s="31"/>
      <c r="U180" s="31"/>
    </row>
    <row r="181" spans="1:21" ht="20.100000000000001" customHeight="1">
      <c r="A181" s="13"/>
      <c r="B181" s="13"/>
      <c r="C181" s="13"/>
      <c r="D181" s="13"/>
      <c r="E181" s="13"/>
      <c r="F181" s="16"/>
      <c r="G181" s="16"/>
      <c r="H181" s="16"/>
      <c r="I181" s="22" t="str">
        <f t="shared" si="5"/>
        <v/>
      </c>
      <c r="J181" s="16"/>
      <c r="K181" s="13"/>
      <c r="L181" s="13"/>
      <c r="M181" s="13"/>
      <c r="N181" s="13"/>
      <c r="O181" s="13"/>
      <c r="P181" s="13"/>
      <c r="Q181" s="31"/>
      <c r="R181" s="31"/>
      <c r="S181" s="31"/>
      <c r="T181" s="31"/>
      <c r="U181" s="31"/>
    </row>
    <row r="182" spans="1:21" ht="20.100000000000001" customHeight="1">
      <c r="A182" s="13"/>
      <c r="B182" s="13"/>
      <c r="C182" s="13"/>
      <c r="D182" s="13"/>
      <c r="E182" s="13"/>
      <c r="F182" s="16"/>
      <c r="G182" s="16"/>
      <c r="H182" s="16"/>
      <c r="I182" s="22" t="str">
        <f t="shared" si="5"/>
        <v/>
      </c>
      <c r="J182" s="16"/>
      <c r="K182" s="13"/>
      <c r="L182" s="13"/>
      <c r="M182" s="13"/>
      <c r="N182" s="13"/>
      <c r="O182" s="13"/>
      <c r="P182" s="13"/>
      <c r="Q182" s="31"/>
      <c r="R182" s="31"/>
      <c r="S182" s="31"/>
      <c r="T182" s="31"/>
      <c r="U182" s="31"/>
    </row>
    <row r="183" spans="1:21" ht="20.100000000000001" customHeight="1">
      <c r="A183" s="13"/>
      <c r="B183" s="13"/>
      <c r="C183" s="13"/>
      <c r="D183" s="13"/>
      <c r="E183" s="13"/>
      <c r="F183" s="16"/>
      <c r="G183" s="16"/>
      <c r="H183" s="16"/>
      <c r="I183" s="22" t="str">
        <f t="shared" si="5"/>
        <v/>
      </c>
      <c r="J183" s="16"/>
      <c r="K183" s="13"/>
      <c r="L183" s="13"/>
      <c r="M183" s="13"/>
      <c r="N183" s="13"/>
      <c r="O183" s="13"/>
      <c r="P183" s="13"/>
      <c r="Q183" s="31"/>
      <c r="R183" s="31"/>
      <c r="S183" s="31"/>
      <c r="T183" s="31"/>
      <c r="U183" s="31"/>
    </row>
    <row r="184" spans="1:21" ht="20.100000000000001" customHeight="1">
      <c r="A184" s="13"/>
      <c r="B184" s="13"/>
      <c r="C184" s="13"/>
      <c r="D184" s="13"/>
      <c r="E184" s="13"/>
      <c r="F184" s="16"/>
      <c r="G184" s="16"/>
      <c r="H184" s="16"/>
      <c r="I184" s="22" t="str">
        <f t="shared" si="5"/>
        <v/>
      </c>
      <c r="J184" s="16"/>
      <c r="K184" s="13"/>
      <c r="L184" s="13"/>
      <c r="M184" s="13"/>
      <c r="N184" s="13"/>
      <c r="O184" s="13"/>
      <c r="P184" s="13"/>
      <c r="Q184" s="31"/>
      <c r="R184" s="31"/>
      <c r="S184" s="31"/>
      <c r="T184" s="31"/>
      <c r="U184" s="31"/>
    </row>
    <row r="185" spans="1:21" ht="20.100000000000001" customHeight="1">
      <c r="A185" s="13"/>
      <c r="B185" s="13"/>
      <c r="C185" s="13"/>
      <c r="D185" s="13"/>
      <c r="E185" s="13"/>
      <c r="F185" s="16"/>
      <c r="G185" s="16"/>
      <c r="H185" s="16"/>
      <c r="I185" s="22" t="str">
        <f t="shared" si="5"/>
        <v/>
      </c>
      <c r="J185" s="16"/>
      <c r="K185" s="13"/>
      <c r="L185" s="13"/>
      <c r="M185" s="13"/>
      <c r="N185" s="13"/>
      <c r="O185" s="13"/>
      <c r="P185" s="13"/>
      <c r="Q185" s="31"/>
      <c r="R185" s="31"/>
      <c r="S185" s="31"/>
      <c r="T185" s="31"/>
      <c r="U185" s="31"/>
    </row>
    <row r="186" spans="1:21" ht="20.100000000000001" customHeight="1">
      <c r="A186" s="13"/>
      <c r="B186" s="13"/>
      <c r="C186" s="13"/>
      <c r="D186" s="13"/>
      <c r="E186" s="13"/>
      <c r="F186" s="16"/>
      <c r="G186" s="16"/>
      <c r="H186" s="16"/>
      <c r="I186" s="22" t="str">
        <f t="shared" si="5"/>
        <v/>
      </c>
      <c r="J186" s="16"/>
      <c r="K186" s="13"/>
      <c r="L186" s="13"/>
      <c r="M186" s="13"/>
      <c r="N186" s="13"/>
      <c r="O186" s="13"/>
      <c r="P186" s="13"/>
      <c r="Q186" s="31"/>
      <c r="R186" s="31"/>
      <c r="S186" s="31"/>
      <c r="T186" s="31"/>
      <c r="U186" s="31"/>
    </row>
    <row r="187" spans="1:21" ht="20.100000000000001" customHeight="1">
      <c r="A187" s="13"/>
      <c r="B187" s="13"/>
      <c r="C187" s="13"/>
      <c r="D187" s="13"/>
      <c r="E187" s="13"/>
      <c r="F187" s="16"/>
      <c r="G187" s="16"/>
      <c r="H187" s="16"/>
      <c r="I187" s="22" t="str">
        <f t="shared" si="5"/>
        <v/>
      </c>
      <c r="J187" s="16"/>
      <c r="K187" s="13"/>
      <c r="L187" s="13"/>
      <c r="M187" s="13"/>
      <c r="N187" s="13"/>
      <c r="O187" s="13"/>
      <c r="P187" s="13"/>
      <c r="Q187" s="31"/>
      <c r="R187" s="31"/>
      <c r="S187" s="31"/>
      <c r="T187" s="31"/>
      <c r="U187" s="31"/>
    </row>
    <row r="188" spans="1:21" ht="20.100000000000001" customHeight="1">
      <c r="A188" s="13"/>
      <c r="B188" s="13"/>
      <c r="C188" s="13"/>
      <c r="D188" s="13"/>
      <c r="E188" s="13"/>
      <c r="F188" s="16"/>
      <c r="G188" s="16"/>
      <c r="H188" s="16"/>
      <c r="I188" s="22" t="str">
        <f t="shared" si="5"/>
        <v/>
      </c>
      <c r="J188" s="16"/>
      <c r="K188" s="13"/>
      <c r="L188" s="13"/>
      <c r="M188" s="13"/>
      <c r="N188" s="13"/>
      <c r="O188" s="13"/>
      <c r="P188" s="13"/>
      <c r="Q188" s="31"/>
      <c r="R188" s="31"/>
      <c r="S188" s="31"/>
      <c r="T188" s="31"/>
      <c r="U188" s="31"/>
    </row>
    <row r="189" spans="1:21" ht="20.100000000000001" customHeight="1">
      <c r="A189" s="13"/>
      <c r="B189" s="13"/>
      <c r="C189" s="13"/>
      <c r="D189" s="13"/>
      <c r="E189" s="13"/>
      <c r="F189" s="16"/>
      <c r="G189" s="16"/>
      <c r="H189" s="16"/>
      <c r="I189" s="22" t="str">
        <f t="shared" si="5"/>
        <v/>
      </c>
      <c r="J189" s="16"/>
      <c r="K189" s="13"/>
      <c r="L189" s="13"/>
      <c r="M189" s="13"/>
      <c r="N189" s="13"/>
      <c r="O189" s="13"/>
      <c r="P189" s="13"/>
      <c r="Q189" s="31"/>
      <c r="R189" s="31"/>
      <c r="S189" s="31"/>
      <c r="T189" s="31"/>
      <c r="U189" s="31"/>
    </row>
    <row r="190" spans="1:21" ht="20.100000000000001" customHeight="1">
      <c r="A190" s="13"/>
      <c r="B190" s="13"/>
      <c r="C190" s="13"/>
      <c r="D190" s="13"/>
      <c r="E190" s="13"/>
      <c r="F190" s="16"/>
      <c r="G190" s="16"/>
      <c r="H190" s="16"/>
      <c r="I190" s="22" t="str">
        <f t="shared" si="5"/>
        <v/>
      </c>
      <c r="J190" s="16"/>
      <c r="K190" s="13"/>
      <c r="L190" s="13"/>
      <c r="M190" s="13"/>
      <c r="N190" s="13"/>
      <c r="O190" s="13"/>
      <c r="P190" s="13"/>
      <c r="Q190" s="31"/>
      <c r="R190" s="31"/>
      <c r="S190" s="31"/>
      <c r="T190" s="31"/>
      <c r="U190" s="31"/>
    </row>
    <row r="191" spans="1:21" ht="20.100000000000001" customHeight="1">
      <c r="A191" s="13"/>
      <c r="B191" s="13"/>
      <c r="C191" s="13"/>
      <c r="D191" s="13"/>
      <c r="E191" s="13"/>
      <c r="F191" s="16"/>
      <c r="G191" s="16"/>
      <c r="H191" s="16"/>
      <c r="I191" s="22" t="str">
        <f t="shared" si="5"/>
        <v/>
      </c>
      <c r="J191" s="16"/>
      <c r="K191" s="13"/>
      <c r="L191" s="13"/>
      <c r="M191" s="13"/>
      <c r="N191" s="13"/>
      <c r="O191" s="13"/>
      <c r="P191" s="13"/>
      <c r="Q191" s="31"/>
      <c r="R191" s="31"/>
      <c r="S191" s="31"/>
      <c r="T191" s="31"/>
      <c r="U191" s="31"/>
    </row>
    <row r="192" spans="1:21" ht="20.100000000000001" customHeight="1">
      <c r="A192" s="13"/>
      <c r="B192" s="13"/>
      <c r="C192" s="13"/>
      <c r="D192" s="13"/>
      <c r="E192" s="13"/>
      <c r="F192" s="16"/>
      <c r="G192" s="16"/>
      <c r="H192" s="16"/>
      <c r="I192" s="22" t="str">
        <f t="shared" si="5"/>
        <v/>
      </c>
      <c r="J192" s="16"/>
      <c r="K192" s="13"/>
      <c r="L192" s="13"/>
      <c r="M192" s="13"/>
      <c r="N192" s="13"/>
      <c r="O192" s="13"/>
      <c r="P192" s="13"/>
      <c r="Q192" s="31"/>
      <c r="R192" s="31"/>
      <c r="S192" s="31"/>
      <c r="T192" s="31"/>
      <c r="U192" s="31"/>
    </row>
    <row r="193" spans="1:21" ht="20.100000000000001" customHeight="1">
      <c r="A193" s="13"/>
      <c r="B193" s="13"/>
      <c r="C193" s="13"/>
      <c r="D193" s="13"/>
      <c r="E193" s="13"/>
      <c r="F193" s="16"/>
      <c r="G193" s="16"/>
      <c r="H193" s="16"/>
      <c r="I193" s="22" t="str">
        <f t="shared" si="5"/>
        <v/>
      </c>
      <c r="J193" s="16"/>
      <c r="K193" s="13"/>
      <c r="L193" s="13"/>
      <c r="M193" s="13"/>
      <c r="N193" s="13"/>
      <c r="O193" s="13"/>
      <c r="P193" s="13"/>
      <c r="Q193" s="31"/>
      <c r="R193" s="31"/>
      <c r="S193" s="31"/>
      <c r="T193" s="31"/>
      <c r="U193" s="31"/>
    </row>
    <row r="194" spans="1:21" ht="20.100000000000001" customHeight="1">
      <c r="A194" s="13"/>
      <c r="B194" s="13"/>
      <c r="C194" s="13"/>
      <c r="D194" s="13"/>
      <c r="E194" s="13"/>
      <c r="F194" s="16"/>
      <c r="G194" s="16"/>
      <c r="H194" s="16"/>
      <c r="I194" s="22" t="str">
        <f t="shared" si="5"/>
        <v/>
      </c>
      <c r="J194" s="16"/>
      <c r="K194" s="13"/>
      <c r="L194" s="13"/>
      <c r="M194" s="13"/>
      <c r="N194" s="13"/>
      <c r="O194" s="13"/>
      <c r="P194" s="13"/>
      <c r="Q194" s="31"/>
      <c r="R194" s="31"/>
      <c r="S194" s="31"/>
      <c r="T194" s="31"/>
      <c r="U194" s="31"/>
    </row>
    <row r="195" spans="1:21" ht="20.100000000000001" customHeight="1">
      <c r="A195" s="13"/>
      <c r="B195" s="13"/>
      <c r="C195" s="13"/>
      <c r="D195" s="13"/>
      <c r="E195" s="13"/>
      <c r="F195" s="16"/>
      <c r="G195" s="16"/>
      <c r="H195" s="16"/>
      <c r="I195" s="22" t="str">
        <f t="shared" si="5"/>
        <v/>
      </c>
      <c r="J195" s="16"/>
      <c r="K195" s="13"/>
      <c r="L195" s="13"/>
      <c r="M195" s="13"/>
      <c r="N195" s="13"/>
      <c r="O195" s="13"/>
      <c r="P195" s="13"/>
      <c r="Q195" s="31"/>
      <c r="R195" s="31"/>
      <c r="S195" s="31"/>
      <c r="T195" s="31"/>
      <c r="U195" s="31"/>
    </row>
    <row r="196" spans="1:21" ht="20.100000000000001" customHeight="1">
      <c r="A196" s="13"/>
      <c r="B196" s="13"/>
      <c r="C196" s="13"/>
      <c r="D196" s="13"/>
      <c r="E196" s="13"/>
      <c r="F196" s="16"/>
      <c r="G196" s="16"/>
      <c r="H196" s="16"/>
      <c r="I196" s="22" t="str">
        <f t="shared" si="5"/>
        <v/>
      </c>
      <c r="J196" s="16"/>
      <c r="K196" s="13"/>
      <c r="L196" s="13"/>
      <c r="M196" s="13"/>
      <c r="N196" s="13"/>
      <c r="O196" s="13"/>
      <c r="P196" s="13"/>
      <c r="Q196" s="31"/>
      <c r="R196" s="31"/>
      <c r="S196" s="31"/>
      <c r="T196" s="31"/>
      <c r="U196" s="31"/>
    </row>
    <row r="197" spans="1:21" ht="20.100000000000001" customHeight="1">
      <c r="A197" s="13"/>
      <c r="B197" s="13"/>
      <c r="C197" s="13"/>
      <c r="D197" s="13"/>
      <c r="E197" s="13"/>
      <c r="F197" s="16"/>
      <c r="G197" s="16"/>
      <c r="H197" s="16"/>
      <c r="I197" s="22" t="str">
        <f t="shared" si="5"/>
        <v/>
      </c>
      <c r="J197" s="16"/>
      <c r="K197" s="13"/>
      <c r="L197" s="13"/>
      <c r="M197" s="13"/>
      <c r="N197" s="13"/>
      <c r="O197" s="13"/>
      <c r="P197" s="13"/>
      <c r="Q197" s="31"/>
      <c r="R197" s="31"/>
      <c r="S197" s="31"/>
      <c r="T197" s="31"/>
      <c r="U197" s="31"/>
    </row>
    <row r="198" spans="1:21" ht="20.100000000000001" customHeight="1">
      <c r="A198" s="13"/>
      <c r="B198" s="13"/>
      <c r="C198" s="13"/>
      <c r="D198" s="13"/>
      <c r="E198" s="13"/>
      <c r="F198" s="16"/>
      <c r="G198" s="16"/>
      <c r="H198" s="16"/>
      <c r="I198" s="22" t="str">
        <f t="shared" ref="I198:I229" si="6">IF(A198="","",IF(OR(F198="",G198="",H198=""),"",F198*G198*H198))</f>
        <v/>
      </c>
      <c r="J198" s="16"/>
      <c r="K198" s="13"/>
      <c r="L198" s="13"/>
      <c r="M198" s="13"/>
      <c r="N198" s="13"/>
      <c r="O198" s="13"/>
      <c r="P198" s="13"/>
      <c r="Q198" s="31"/>
      <c r="R198" s="31"/>
      <c r="S198" s="31"/>
      <c r="T198" s="31"/>
      <c r="U198" s="31"/>
    </row>
    <row r="199" spans="1:21" ht="20.100000000000001" customHeight="1">
      <c r="A199" s="13"/>
      <c r="B199" s="13"/>
      <c r="C199" s="13"/>
      <c r="D199" s="13"/>
      <c r="E199" s="13"/>
      <c r="F199" s="16"/>
      <c r="G199" s="16"/>
      <c r="H199" s="16"/>
      <c r="I199" s="22" t="str">
        <f t="shared" si="6"/>
        <v/>
      </c>
      <c r="J199" s="16"/>
      <c r="K199" s="13"/>
      <c r="L199" s="13"/>
      <c r="M199" s="13"/>
      <c r="N199" s="13"/>
      <c r="O199" s="13"/>
      <c r="P199" s="13"/>
      <c r="Q199" s="31"/>
      <c r="R199" s="31"/>
      <c r="S199" s="31"/>
      <c r="T199" s="31"/>
      <c r="U199" s="31"/>
    </row>
    <row r="200" spans="1:21" ht="20.100000000000001" customHeight="1">
      <c r="A200" s="13"/>
      <c r="B200" s="13"/>
      <c r="C200" s="13"/>
      <c r="D200" s="13"/>
      <c r="E200" s="13"/>
      <c r="F200" s="16"/>
      <c r="G200" s="16"/>
      <c r="H200" s="16"/>
      <c r="I200" s="22" t="str">
        <f t="shared" si="6"/>
        <v/>
      </c>
      <c r="J200" s="16"/>
      <c r="K200" s="13"/>
      <c r="L200" s="13"/>
      <c r="M200" s="13"/>
      <c r="N200" s="13"/>
      <c r="O200" s="13"/>
      <c r="P200" s="13"/>
      <c r="Q200" s="31"/>
      <c r="R200" s="31"/>
      <c r="S200" s="31"/>
      <c r="T200" s="31"/>
      <c r="U200" s="31"/>
    </row>
    <row r="201" spans="1:21" ht="20.100000000000001" customHeight="1">
      <c r="A201" s="13"/>
      <c r="B201" s="13"/>
      <c r="C201" s="13"/>
      <c r="D201" s="13"/>
      <c r="E201" s="13"/>
      <c r="F201" s="16"/>
      <c r="G201" s="16"/>
      <c r="H201" s="16"/>
      <c r="I201" s="22" t="str">
        <f t="shared" si="6"/>
        <v/>
      </c>
      <c r="J201" s="16"/>
      <c r="K201" s="13"/>
      <c r="L201" s="13"/>
      <c r="M201" s="13"/>
      <c r="N201" s="13"/>
      <c r="O201" s="13"/>
      <c r="P201" s="13"/>
      <c r="Q201" s="31"/>
      <c r="R201" s="31"/>
      <c r="S201" s="31"/>
      <c r="T201" s="31"/>
      <c r="U201" s="31"/>
    </row>
    <row r="202" spans="1:21" ht="20.100000000000001" customHeight="1">
      <c r="A202" s="13"/>
      <c r="B202" s="13"/>
      <c r="C202" s="13"/>
      <c r="D202" s="13"/>
      <c r="E202" s="13"/>
      <c r="F202" s="16"/>
      <c r="G202" s="16"/>
      <c r="H202" s="16"/>
      <c r="I202" s="22" t="str">
        <f t="shared" si="6"/>
        <v/>
      </c>
      <c r="J202" s="16"/>
      <c r="K202" s="13"/>
      <c r="L202" s="13"/>
      <c r="M202" s="13"/>
      <c r="N202" s="13"/>
      <c r="O202" s="13"/>
      <c r="P202" s="13"/>
      <c r="Q202" s="31"/>
      <c r="R202" s="31"/>
      <c r="S202" s="31"/>
      <c r="T202" s="31"/>
      <c r="U202" s="31"/>
    </row>
    <row r="203" spans="1:21" ht="20.100000000000001" customHeight="1">
      <c r="A203" s="13"/>
      <c r="B203" s="13"/>
      <c r="C203" s="13"/>
      <c r="D203" s="13"/>
      <c r="E203" s="13"/>
      <c r="F203" s="16"/>
      <c r="G203" s="16"/>
      <c r="H203" s="16"/>
      <c r="I203" s="22" t="str">
        <f t="shared" si="6"/>
        <v/>
      </c>
      <c r="J203" s="16"/>
      <c r="K203" s="13"/>
      <c r="L203" s="13"/>
      <c r="M203" s="13"/>
      <c r="N203" s="13"/>
      <c r="O203" s="13"/>
      <c r="P203" s="13"/>
      <c r="Q203" s="31"/>
      <c r="R203" s="31"/>
      <c r="S203" s="31"/>
      <c r="T203" s="31"/>
      <c r="U203" s="31"/>
    </row>
    <row r="204" spans="1:21" ht="20.100000000000001" customHeight="1">
      <c r="A204" s="13"/>
      <c r="B204" s="13"/>
      <c r="C204" s="13"/>
      <c r="D204" s="13"/>
      <c r="E204" s="13"/>
      <c r="F204" s="16"/>
      <c r="G204" s="16"/>
      <c r="H204" s="16"/>
      <c r="I204" s="22" t="str">
        <f t="shared" si="6"/>
        <v/>
      </c>
      <c r="J204" s="16"/>
      <c r="K204" s="13"/>
      <c r="L204" s="13"/>
      <c r="M204" s="13"/>
      <c r="N204" s="13"/>
      <c r="O204" s="13"/>
      <c r="P204" s="13"/>
      <c r="Q204" s="31"/>
      <c r="R204" s="31"/>
      <c r="S204" s="31"/>
      <c r="T204" s="31"/>
      <c r="U204" s="31"/>
    </row>
    <row r="205" spans="1:21" ht="20.100000000000001" customHeight="1">
      <c r="A205" s="14"/>
      <c r="B205" s="14"/>
      <c r="C205" s="14"/>
      <c r="D205" s="14"/>
      <c r="E205" s="14"/>
      <c r="F205" s="17"/>
      <c r="G205" s="17"/>
      <c r="H205" s="17"/>
      <c r="I205" s="22" t="str">
        <f t="shared" si="6"/>
        <v/>
      </c>
      <c r="J205" s="17"/>
      <c r="K205" s="14"/>
      <c r="L205" s="14"/>
      <c r="M205" s="14"/>
      <c r="N205" s="14"/>
      <c r="O205" s="14"/>
      <c r="P205" s="14"/>
      <c r="Q205" s="31"/>
      <c r="R205" s="31"/>
      <c r="S205" s="31"/>
      <c r="T205" s="31"/>
      <c r="U205" s="3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600-000000000000}">
          <x14:formula1>
            <xm:f>Listák!$E$2:$E$5</xm:f>
          </x14:formula1>
          <xm:sqref>E6:E205</xm:sqref>
        </x14:dataValidation>
        <x14:dataValidation type="list" xr:uid="{00000000-0002-0000-0600-000001000000}">
          <x14:formula1>
            <xm:f>Listák!$H$2:$H$5</xm:f>
          </x14:formula1>
          <xm:sqref>L6:L205</xm:sqref>
        </x14:dataValidation>
        <x14:dataValidation type="list" xr:uid="{00000000-0002-0000-0600-000002000000}">
          <x14:formula1>
            <xm:f>Listák!$I$2:$I$4</xm:f>
          </x14:formula1>
          <xm:sqref>O6:O205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75B5"/>
  </sheetPr>
  <dimension ref="A2:U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2" width="18" customWidth="1"/>
    <col min="3" max="3" width="16" customWidth="1"/>
    <col min="4" max="4" width="20" customWidth="1"/>
    <col min="5" max="5" width="30" customWidth="1"/>
    <col min="6" max="6" width="20" customWidth="1"/>
    <col min="7" max="7" width="26" customWidth="1"/>
    <col min="8" max="8" width="24" customWidth="1"/>
    <col min="9" max="10" width="18" customWidth="1"/>
    <col min="11" max="11" width="16" customWidth="1"/>
    <col min="12" max="14" width="22" customWidth="1"/>
    <col min="15" max="16" width="18" customWidth="1"/>
    <col min="17" max="17" width="20" customWidth="1"/>
    <col min="18" max="18" width="16" customWidth="1"/>
    <col min="19" max="20" width="25" customWidth="1"/>
    <col min="21" max="21" width="34" customWidth="1"/>
  </cols>
  <sheetData>
    <row r="2" spans="1:21" ht="19.5">
      <c r="A2" s="2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3" t="s">
        <v>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5" spans="1:21" ht="42" customHeight="1">
      <c r="A5" s="9" t="s">
        <v>100</v>
      </c>
      <c r="B5" s="10" t="s">
        <v>20</v>
      </c>
      <c r="C5" s="10" t="s">
        <v>67</v>
      </c>
      <c r="D5" s="10" t="s">
        <v>101</v>
      </c>
      <c r="E5" s="10" t="s">
        <v>102</v>
      </c>
      <c r="F5" s="10" t="s">
        <v>103</v>
      </c>
      <c r="G5" s="10" t="s">
        <v>104</v>
      </c>
      <c r="H5" s="10" t="s">
        <v>105</v>
      </c>
      <c r="I5" s="10" t="s">
        <v>106</v>
      </c>
      <c r="J5" s="10" t="s">
        <v>107</v>
      </c>
      <c r="K5" s="10" t="s">
        <v>108</v>
      </c>
      <c r="L5" s="10" t="s">
        <v>109</v>
      </c>
      <c r="M5" s="10" t="s">
        <v>110</v>
      </c>
      <c r="N5" s="10" t="s">
        <v>111</v>
      </c>
      <c r="O5" s="10" t="s">
        <v>112</v>
      </c>
      <c r="P5" s="10" t="s">
        <v>113</v>
      </c>
      <c r="Q5" s="10" t="s">
        <v>114</v>
      </c>
      <c r="R5" s="10" t="s">
        <v>49</v>
      </c>
      <c r="S5" s="10" t="s">
        <v>50</v>
      </c>
      <c r="T5" s="10" t="s">
        <v>51</v>
      </c>
      <c r="U5" s="11" t="s">
        <v>37</v>
      </c>
    </row>
    <row r="6" spans="1:21" ht="20.100000000000001" customHeight="1">
      <c r="A6" s="12"/>
      <c r="B6" s="12"/>
      <c r="C6" s="12"/>
      <c r="D6" s="12"/>
      <c r="E6" s="12"/>
      <c r="F6" s="12"/>
      <c r="G6" s="12"/>
      <c r="H6" s="12"/>
      <c r="I6" s="15"/>
      <c r="J6" s="15"/>
      <c r="K6" s="15"/>
      <c r="L6" s="15"/>
      <c r="M6" s="15"/>
      <c r="N6" s="15"/>
      <c r="O6" s="15"/>
      <c r="P6" s="15"/>
      <c r="Q6" s="15"/>
      <c r="R6" s="12"/>
      <c r="S6" s="12"/>
      <c r="T6" s="12"/>
      <c r="U6" s="12"/>
    </row>
    <row r="7" spans="1:21" ht="20.100000000000001" customHeight="1">
      <c r="A7" s="13"/>
      <c r="B7" s="13"/>
      <c r="C7" s="13"/>
      <c r="D7" s="13"/>
      <c r="E7" s="13"/>
      <c r="F7" s="13"/>
      <c r="G7" s="13"/>
      <c r="H7" s="13"/>
      <c r="I7" s="16"/>
      <c r="J7" s="16"/>
      <c r="K7" s="16"/>
      <c r="L7" s="16"/>
      <c r="M7" s="16"/>
      <c r="N7" s="16"/>
      <c r="O7" s="16"/>
      <c r="P7" s="16"/>
      <c r="Q7" s="16"/>
      <c r="R7" s="13"/>
      <c r="S7" s="13"/>
      <c r="T7" s="13"/>
      <c r="U7" s="13"/>
    </row>
    <row r="8" spans="1:21" ht="20.100000000000001" customHeight="1">
      <c r="A8" s="13"/>
      <c r="B8" s="13"/>
      <c r="C8" s="13"/>
      <c r="D8" s="13"/>
      <c r="E8" s="13"/>
      <c r="F8" s="13"/>
      <c r="G8" s="13"/>
      <c r="H8" s="13"/>
      <c r="I8" s="16"/>
      <c r="J8" s="16"/>
      <c r="K8" s="16"/>
      <c r="L8" s="16"/>
      <c r="M8" s="16"/>
      <c r="N8" s="16"/>
      <c r="O8" s="16"/>
      <c r="P8" s="16"/>
      <c r="Q8" s="16"/>
      <c r="R8" s="13"/>
      <c r="S8" s="13"/>
      <c r="T8" s="13"/>
      <c r="U8" s="13"/>
    </row>
    <row r="9" spans="1:21" ht="20.100000000000001" customHeight="1">
      <c r="A9" s="13"/>
      <c r="B9" s="13"/>
      <c r="C9" s="13"/>
      <c r="D9" s="13"/>
      <c r="E9" s="13"/>
      <c r="F9" s="13"/>
      <c r="G9" s="13"/>
      <c r="H9" s="13"/>
      <c r="I9" s="16"/>
      <c r="J9" s="16"/>
      <c r="K9" s="16"/>
      <c r="L9" s="16"/>
      <c r="M9" s="16"/>
      <c r="N9" s="16"/>
      <c r="O9" s="16"/>
      <c r="P9" s="16"/>
      <c r="Q9" s="16"/>
      <c r="R9" s="13"/>
      <c r="S9" s="13"/>
      <c r="T9" s="13"/>
      <c r="U9" s="13"/>
    </row>
    <row r="10" spans="1:21" ht="20.100000000000001" customHeight="1">
      <c r="A10" s="13"/>
      <c r="B10" s="13"/>
      <c r="C10" s="13"/>
      <c r="D10" s="13"/>
      <c r="E10" s="13"/>
      <c r="F10" s="13"/>
      <c r="G10" s="13"/>
      <c r="H10" s="13"/>
      <c r="I10" s="16"/>
      <c r="J10" s="16"/>
      <c r="K10" s="16"/>
      <c r="L10" s="16"/>
      <c r="M10" s="16"/>
      <c r="N10" s="16"/>
      <c r="O10" s="16"/>
      <c r="P10" s="16"/>
      <c r="Q10" s="16"/>
      <c r="R10" s="13"/>
      <c r="S10" s="13"/>
      <c r="T10" s="13"/>
      <c r="U10" s="13"/>
    </row>
    <row r="11" spans="1:21" ht="20.100000000000001" customHeight="1">
      <c r="A11" s="13"/>
      <c r="B11" s="13"/>
      <c r="C11" s="13"/>
      <c r="D11" s="13"/>
      <c r="E11" s="13"/>
      <c r="F11" s="13"/>
      <c r="G11" s="13"/>
      <c r="H11" s="13"/>
      <c r="I11" s="16"/>
      <c r="J11" s="16"/>
      <c r="K11" s="16"/>
      <c r="L11" s="16"/>
      <c r="M11" s="16"/>
      <c r="N11" s="16"/>
      <c r="O11" s="16"/>
      <c r="P11" s="16"/>
      <c r="Q11" s="16"/>
      <c r="R11" s="13"/>
      <c r="S11" s="13"/>
      <c r="T11" s="13"/>
      <c r="U11" s="13"/>
    </row>
    <row r="12" spans="1:21" ht="20.100000000000001" customHeight="1">
      <c r="A12" s="13"/>
      <c r="B12" s="13"/>
      <c r="C12" s="13"/>
      <c r="D12" s="13"/>
      <c r="E12" s="13"/>
      <c r="F12" s="13"/>
      <c r="G12" s="13"/>
      <c r="H12" s="13"/>
      <c r="I12" s="16"/>
      <c r="J12" s="16"/>
      <c r="K12" s="16"/>
      <c r="L12" s="16"/>
      <c r="M12" s="16"/>
      <c r="N12" s="16"/>
      <c r="O12" s="16"/>
      <c r="P12" s="16"/>
      <c r="Q12" s="16"/>
      <c r="R12" s="13"/>
      <c r="S12" s="13"/>
      <c r="T12" s="13"/>
      <c r="U12" s="13"/>
    </row>
    <row r="13" spans="1:21" ht="20.100000000000001" customHeight="1">
      <c r="A13" s="13"/>
      <c r="B13" s="13"/>
      <c r="C13" s="13"/>
      <c r="D13" s="13"/>
      <c r="E13" s="13"/>
      <c r="F13" s="13"/>
      <c r="G13" s="13"/>
      <c r="H13" s="13"/>
      <c r="I13" s="16"/>
      <c r="J13" s="16"/>
      <c r="K13" s="16"/>
      <c r="L13" s="16"/>
      <c r="M13" s="16"/>
      <c r="N13" s="16"/>
      <c r="O13" s="16"/>
      <c r="P13" s="16"/>
      <c r="Q13" s="16"/>
      <c r="R13" s="13"/>
      <c r="S13" s="13"/>
      <c r="T13" s="13"/>
      <c r="U13" s="13"/>
    </row>
    <row r="14" spans="1:21" ht="20.100000000000001" customHeight="1">
      <c r="A14" s="13"/>
      <c r="B14" s="13"/>
      <c r="C14" s="13"/>
      <c r="D14" s="13"/>
      <c r="E14" s="13"/>
      <c r="F14" s="13"/>
      <c r="G14" s="13"/>
      <c r="H14" s="13"/>
      <c r="I14" s="16"/>
      <c r="J14" s="16"/>
      <c r="K14" s="16"/>
      <c r="L14" s="16"/>
      <c r="M14" s="16"/>
      <c r="N14" s="16"/>
      <c r="O14" s="16"/>
      <c r="P14" s="16"/>
      <c r="Q14" s="16"/>
      <c r="R14" s="13"/>
      <c r="S14" s="13"/>
      <c r="T14" s="13"/>
      <c r="U14" s="13"/>
    </row>
    <row r="15" spans="1:21" ht="20.100000000000001" customHeight="1">
      <c r="A15" s="13"/>
      <c r="B15" s="13"/>
      <c r="C15" s="13"/>
      <c r="D15" s="13"/>
      <c r="E15" s="13"/>
      <c r="F15" s="13"/>
      <c r="G15" s="13"/>
      <c r="H15" s="13"/>
      <c r="I15" s="16"/>
      <c r="J15" s="16"/>
      <c r="K15" s="16"/>
      <c r="L15" s="16"/>
      <c r="M15" s="16"/>
      <c r="N15" s="16"/>
      <c r="O15" s="16"/>
      <c r="P15" s="16"/>
      <c r="Q15" s="16"/>
      <c r="R15" s="13"/>
      <c r="S15" s="13"/>
      <c r="T15" s="13"/>
      <c r="U15" s="13"/>
    </row>
    <row r="16" spans="1:21" ht="20.100000000000001" customHeight="1">
      <c r="A16" s="13"/>
      <c r="B16" s="13"/>
      <c r="C16" s="13"/>
      <c r="D16" s="13"/>
      <c r="E16" s="13"/>
      <c r="F16" s="13"/>
      <c r="G16" s="13"/>
      <c r="H16" s="13"/>
      <c r="I16" s="16"/>
      <c r="J16" s="16"/>
      <c r="K16" s="16"/>
      <c r="L16" s="16"/>
      <c r="M16" s="16"/>
      <c r="N16" s="16"/>
      <c r="O16" s="16"/>
      <c r="P16" s="16"/>
      <c r="Q16" s="16"/>
      <c r="R16" s="13"/>
      <c r="S16" s="13"/>
      <c r="T16" s="13"/>
      <c r="U16" s="13"/>
    </row>
    <row r="17" spans="1:21" ht="20.100000000000001" customHeight="1">
      <c r="A17" s="13"/>
      <c r="B17" s="13"/>
      <c r="C17" s="13"/>
      <c r="D17" s="13"/>
      <c r="E17" s="13"/>
      <c r="F17" s="13"/>
      <c r="G17" s="13"/>
      <c r="H17" s="13"/>
      <c r="I17" s="16"/>
      <c r="J17" s="16"/>
      <c r="K17" s="16"/>
      <c r="L17" s="16"/>
      <c r="M17" s="16"/>
      <c r="N17" s="16"/>
      <c r="O17" s="16"/>
      <c r="P17" s="16"/>
      <c r="Q17" s="16"/>
      <c r="R17" s="13"/>
      <c r="S17" s="13"/>
      <c r="T17" s="13"/>
      <c r="U17" s="13"/>
    </row>
    <row r="18" spans="1:21" ht="20.100000000000001" customHeight="1">
      <c r="A18" s="13"/>
      <c r="B18" s="13"/>
      <c r="C18" s="13"/>
      <c r="D18" s="13"/>
      <c r="E18" s="13"/>
      <c r="F18" s="13"/>
      <c r="G18" s="13"/>
      <c r="H18" s="13"/>
      <c r="I18" s="16"/>
      <c r="J18" s="16"/>
      <c r="K18" s="16"/>
      <c r="L18" s="16"/>
      <c r="M18" s="16"/>
      <c r="N18" s="16"/>
      <c r="O18" s="16"/>
      <c r="P18" s="16"/>
      <c r="Q18" s="16"/>
      <c r="R18" s="13"/>
      <c r="S18" s="13"/>
      <c r="T18" s="13"/>
      <c r="U18" s="13"/>
    </row>
    <row r="19" spans="1:21" ht="20.100000000000001" customHeight="1">
      <c r="A19" s="13"/>
      <c r="B19" s="13"/>
      <c r="C19" s="13"/>
      <c r="D19" s="13"/>
      <c r="E19" s="13"/>
      <c r="F19" s="13"/>
      <c r="G19" s="13"/>
      <c r="H19" s="13"/>
      <c r="I19" s="16"/>
      <c r="J19" s="16"/>
      <c r="K19" s="16"/>
      <c r="L19" s="16"/>
      <c r="M19" s="16"/>
      <c r="N19" s="16"/>
      <c r="O19" s="16"/>
      <c r="P19" s="16"/>
      <c r="Q19" s="16"/>
      <c r="R19" s="13"/>
      <c r="S19" s="13"/>
      <c r="T19" s="13"/>
      <c r="U19" s="13"/>
    </row>
    <row r="20" spans="1:21" ht="20.100000000000001" customHeight="1">
      <c r="A20" s="13"/>
      <c r="B20" s="13"/>
      <c r="C20" s="13"/>
      <c r="D20" s="13"/>
      <c r="E20" s="13"/>
      <c r="F20" s="13"/>
      <c r="G20" s="13"/>
      <c r="H20" s="13"/>
      <c r="I20" s="16"/>
      <c r="J20" s="16"/>
      <c r="K20" s="16"/>
      <c r="L20" s="16"/>
      <c r="M20" s="16"/>
      <c r="N20" s="16"/>
      <c r="O20" s="16"/>
      <c r="P20" s="16"/>
      <c r="Q20" s="16"/>
      <c r="R20" s="13"/>
      <c r="S20" s="13"/>
      <c r="T20" s="13"/>
      <c r="U20" s="13"/>
    </row>
    <row r="21" spans="1:21" ht="20.100000000000001" customHeight="1">
      <c r="A21" s="13"/>
      <c r="B21" s="13"/>
      <c r="C21" s="13"/>
      <c r="D21" s="13"/>
      <c r="E21" s="13"/>
      <c r="F21" s="13"/>
      <c r="G21" s="13"/>
      <c r="H21" s="13"/>
      <c r="I21" s="16"/>
      <c r="J21" s="16"/>
      <c r="K21" s="16"/>
      <c r="L21" s="16"/>
      <c r="M21" s="16"/>
      <c r="N21" s="16"/>
      <c r="O21" s="16"/>
      <c r="P21" s="16"/>
      <c r="Q21" s="16"/>
      <c r="R21" s="13"/>
      <c r="S21" s="13"/>
      <c r="T21" s="13"/>
      <c r="U21" s="13"/>
    </row>
    <row r="22" spans="1:21" ht="20.100000000000001" customHeight="1">
      <c r="A22" s="13"/>
      <c r="B22" s="13"/>
      <c r="C22" s="13"/>
      <c r="D22" s="13"/>
      <c r="E22" s="13"/>
      <c r="F22" s="13"/>
      <c r="G22" s="13"/>
      <c r="H22" s="13"/>
      <c r="I22" s="16"/>
      <c r="J22" s="16"/>
      <c r="K22" s="16"/>
      <c r="L22" s="16"/>
      <c r="M22" s="16"/>
      <c r="N22" s="16"/>
      <c r="O22" s="16"/>
      <c r="P22" s="16"/>
      <c r="Q22" s="16"/>
      <c r="R22" s="13"/>
      <c r="S22" s="13"/>
      <c r="T22" s="13"/>
      <c r="U22" s="13"/>
    </row>
    <row r="23" spans="1:21" ht="20.100000000000001" customHeight="1">
      <c r="A23" s="13"/>
      <c r="B23" s="13"/>
      <c r="C23" s="13"/>
      <c r="D23" s="13"/>
      <c r="E23" s="13"/>
      <c r="F23" s="13"/>
      <c r="G23" s="13"/>
      <c r="H23" s="13"/>
      <c r="I23" s="16"/>
      <c r="J23" s="16"/>
      <c r="K23" s="16"/>
      <c r="L23" s="16"/>
      <c r="M23" s="16"/>
      <c r="N23" s="16"/>
      <c r="O23" s="16"/>
      <c r="P23" s="16"/>
      <c r="Q23" s="16"/>
      <c r="R23" s="13"/>
      <c r="S23" s="13"/>
      <c r="T23" s="13"/>
      <c r="U23" s="13"/>
    </row>
    <row r="24" spans="1:21" ht="20.100000000000001" customHeight="1">
      <c r="A24" s="13"/>
      <c r="B24" s="13"/>
      <c r="C24" s="13"/>
      <c r="D24" s="13"/>
      <c r="E24" s="13"/>
      <c r="F24" s="13"/>
      <c r="G24" s="13"/>
      <c r="H24" s="13"/>
      <c r="I24" s="16"/>
      <c r="J24" s="16"/>
      <c r="K24" s="16"/>
      <c r="L24" s="16"/>
      <c r="M24" s="16"/>
      <c r="N24" s="16"/>
      <c r="O24" s="16"/>
      <c r="P24" s="16"/>
      <c r="Q24" s="16"/>
      <c r="R24" s="13"/>
      <c r="S24" s="13"/>
      <c r="T24" s="13"/>
      <c r="U24" s="13"/>
    </row>
    <row r="25" spans="1:21" ht="20.100000000000001" customHeight="1">
      <c r="A25" s="13"/>
      <c r="B25" s="13"/>
      <c r="C25" s="13"/>
      <c r="D25" s="13"/>
      <c r="E25" s="13"/>
      <c r="F25" s="13"/>
      <c r="G25" s="13"/>
      <c r="H25" s="13"/>
      <c r="I25" s="16"/>
      <c r="J25" s="16"/>
      <c r="K25" s="16"/>
      <c r="L25" s="16"/>
      <c r="M25" s="16"/>
      <c r="N25" s="16"/>
      <c r="O25" s="16"/>
      <c r="P25" s="16"/>
      <c r="Q25" s="16"/>
      <c r="R25" s="13"/>
      <c r="S25" s="13"/>
      <c r="T25" s="13"/>
      <c r="U25" s="13"/>
    </row>
    <row r="26" spans="1:21" ht="20.100000000000001" customHeight="1">
      <c r="A26" s="13"/>
      <c r="B26" s="13"/>
      <c r="C26" s="13"/>
      <c r="D26" s="13"/>
      <c r="E26" s="13"/>
      <c r="F26" s="13"/>
      <c r="G26" s="13"/>
      <c r="H26" s="13"/>
      <c r="I26" s="16"/>
      <c r="J26" s="16"/>
      <c r="K26" s="16"/>
      <c r="L26" s="16"/>
      <c r="M26" s="16"/>
      <c r="N26" s="16"/>
      <c r="O26" s="16"/>
      <c r="P26" s="16"/>
      <c r="Q26" s="16"/>
      <c r="R26" s="13"/>
      <c r="S26" s="13"/>
      <c r="T26" s="13"/>
      <c r="U26" s="13"/>
    </row>
    <row r="27" spans="1:21" ht="20.100000000000001" customHeight="1">
      <c r="A27" s="13"/>
      <c r="B27" s="13"/>
      <c r="C27" s="13"/>
      <c r="D27" s="13"/>
      <c r="E27" s="13"/>
      <c r="F27" s="13"/>
      <c r="G27" s="13"/>
      <c r="H27" s="13"/>
      <c r="I27" s="16"/>
      <c r="J27" s="16"/>
      <c r="K27" s="16"/>
      <c r="L27" s="16"/>
      <c r="M27" s="16"/>
      <c r="N27" s="16"/>
      <c r="O27" s="16"/>
      <c r="P27" s="16"/>
      <c r="Q27" s="16"/>
      <c r="R27" s="13"/>
      <c r="S27" s="13"/>
      <c r="T27" s="13"/>
      <c r="U27" s="13"/>
    </row>
    <row r="28" spans="1:21" ht="20.100000000000001" customHeight="1">
      <c r="A28" s="13"/>
      <c r="B28" s="13"/>
      <c r="C28" s="13"/>
      <c r="D28" s="13"/>
      <c r="E28" s="13"/>
      <c r="F28" s="13"/>
      <c r="G28" s="13"/>
      <c r="H28" s="13"/>
      <c r="I28" s="16"/>
      <c r="J28" s="16"/>
      <c r="K28" s="16"/>
      <c r="L28" s="16"/>
      <c r="M28" s="16"/>
      <c r="N28" s="16"/>
      <c r="O28" s="16"/>
      <c r="P28" s="16"/>
      <c r="Q28" s="16"/>
      <c r="R28" s="13"/>
      <c r="S28" s="13"/>
      <c r="T28" s="13"/>
      <c r="U28" s="13"/>
    </row>
    <row r="29" spans="1:21" ht="20.100000000000001" customHeight="1">
      <c r="A29" s="13"/>
      <c r="B29" s="13"/>
      <c r="C29" s="13"/>
      <c r="D29" s="13"/>
      <c r="E29" s="13"/>
      <c r="F29" s="13"/>
      <c r="G29" s="13"/>
      <c r="H29" s="13"/>
      <c r="I29" s="16"/>
      <c r="J29" s="16"/>
      <c r="K29" s="16"/>
      <c r="L29" s="16"/>
      <c r="M29" s="16"/>
      <c r="N29" s="16"/>
      <c r="O29" s="16"/>
      <c r="P29" s="16"/>
      <c r="Q29" s="16"/>
      <c r="R29" s="13"/>
      <c r="S29" s="13"/>
      <c r="T29" s="13"/>
      <c r="U29" s="13"/>
    </row>
    <row r="30" spans="1:21" ht="20.100000000000001" customHeight="1">
      <c r="A30" s="13"/>
      <c r="B30" s="13"/>
      <c r="C30" s="13"/>
      <c r="D30" s="13"/>
      <c r="E30" s="13"/>
      <c r="F30" s="13"/>
      <c r="G30" s="13"/>
      <c r="H30" s="13"/>
      <c r="I30" s="16"/>
      <c r="J30" s="16"/>
      <c r="K30" s="16"/>
      <c r="L30" s="16"/>
      <c r="M30" s="16"/>
      <c r="N30" s="16"/>
      <c r="O30" s="16"/>
      <c r="P30" s="16"/>
      <c r="Q30" s="16"/>
      <c r="R30" s="13"/>
      <c r="S30" s="13"/>
      <c r="T30" s="13"/>
      <c r="U30" s="13"/>
    </row>
    <row r="31" spans="1:21" ht="20.100000000000001" customHeight="1">
      <c r="A31" s="13"/>
      <c r="B31" s="13"/>
      <c r="C31" s="13"/>
      <c r="D31" s="13"/>
      <c r="E31" s="13"/>
      <c r="F31" s="13"/>
      <c r="G31" s="13"/>
      <c r="H31" s="13"/>
      <c r="I31" s="16"/>
      <c r="J31" s="16"/>
      <c r="K31" s="16"/>
      <c r="L31" s="16"/>
      <c r="M31" s="16"/>
      <c r="N31" s="16"/>
      <c r="O31" s="16"/>
      <c r="P31" s="16"/>
      <c r="Q31" s="16"/>
      <c r="R31" s="13"/>
      <c r="S31" s="13"/>
      <c r="T31" s="13"/>
      <c r="U31" s="13"/>
    </row>
    <row r="32" spans="1:21" ht="20.100000000000001" customHeight="1">
      <c r="A32" s="13"/>
      <c r="B32" s="13"/>
      <c r="C32" s="13"/>
      <c r="D32" s="13"/>
      <c r="E32" s="13"/>
      <c r="F32" s="13"/>
      <c r="G32" s="13"/>
      <c r="H32" s="13"/>
      <c r="I32" s="16"/>
      <c r="J32" s="16"/>
      <c r="K32" s="16"/>
      <c r="L32" s="16"/>
      <c r="M32" s="16"/>
      <c r="N32" s="16"/>
      <c r="O32" s="16"/>
      <c r="P32" s="16"/>
      <c r="Q32" s="16"/>
      <c r="R32" s="13"/>
      <c r="S32" s="13"/>
      <c r="T32" s="13"/>
      <c r="U32" s="13"/>
    </row>
    <row r="33" spans="1:21" ht="20.100000000000001" customHeight="1">
      <c r="A33" s="13"/>
      <c r="B33" s="13"/>
      <c r="C33" s="13"/>
      <c r="D33" s="13"/>
      <c r="E33" s="13"/>
      <c r="F33" s="13"/>
      <c r="G33" s="13"/>
      <c r="H33" s="13"/>
      <c r="I33" s="16"/>
      <c r="J33" s="16"/>
      <c r="K33" s="16"/>
      <c r="L33" s="16"/>
      <c r="M33" s="16"/>
      <c r="N33" s="16"/>
      <c r="O33" s="16"/>
      <c r="P33" s="16"/>
      <c r="Q33" s="16"/>
      <c r="R33" s="13"/>
      <c r="S33" s="13"/>
      <c r="T33" s="13"/>
      <c r="U33" s="13"/>
    </row>
    <row r="34" spans="1:21" ht="20.100000000000001" customHeight="1">
      <c r="A34" s="13"/>
      <c r="B34" s="13"/>
      <c r="C34" s="13"/>
      <c r="D34" s="13"/>
      <c r="E34" s="13"/>
      <c r="F34" s="13"/>
      <c r="G34" s="13"/>
      <c r="H34" s="13"/>
      <c r="I34" s="16"/>
      <c r="J34" s="16"/>
      <c r="K34" s="16"/>
      <c r="L34" s="16"/>
      <c r="M34" s="16"/>
      <c r="N34" s="16"/>
      <c r="O34" s="16"/>
      <c r="P34" s="16"/>
      <c r="Q34" s="16"/>
      <c r="R34" s="13"/>
      <c r="S34" s="13"/>
      <c r="T34" s="13"/>
      <c r="U34" s="13"/>
    </row>
    <row r="35" spans="1:21" ht="20.100000000000001" customHeight="1">
      <c r="A35" s="13"/>
      <c r="B35" s="13"/>
      <c r="C35" s="13"/>
      <c r="D35" s="13"/>
      <c r="E35" s="13"/>
      <c r="F35" s="13"/>
      <c r="G35" s="13"/>
      <c r="H35" s="13"/>
      <c r="I35" s="16"/>
      <c r="J35" s="16"/>
      <c r="K35" s="16"/>
      <c r="L35" s="16"/>
      <c r="M35" s="16"/>
      <c r="N35" s="16"/>
      <c r="O35" s="16"/>
      <c r="P35" s="16"/>
      <c r="Q35" s="16"/>
      <c r="R35" s="13"/>
      <c r="S35" s="13"/>
      <c r="T35" s="13"/>
      <c r="U35" s="13"/>
    </row>
    <row r="36" spans="1:21" ht="20.100000000000001" customHeight="1">
      <c r="A36" s="13"/>
      <c r="B36" s="13"/>
      <c r="C36" s="13"/>
      <c r="D36" s="13"/>
      <c r="E36" s="13"/>
      <c r="F36" s="13"/>
      <c r="G36" s="13"/>
      <c r="H36" s="13"/>
      <c r="I36" s="16"/>
      <c r="J36" s="16"/>
      <c r="K36" s="16"/>
      <c r="L36" s="16"/>
      <c r="M36" s="16"/>
      <c r="N36" s="16"/>
      <c r="O36" s="16"/>
      <c r="P36" s="16"/>
      <c r="Q36" s="16"/>
      <c r="R36" s="13"/>
      <c r="S36" s="13"/>
      <c r="T36" s="13"/>
      <c r="U36" s="13"/>
    </row>
    <row r="37" spans="1:21" ht="20.100000000000001" customHeight="1">
      <c r="A37" s="13"/>
      <c r="B37" s="13"/>
      <c r="C37" s="13"/>
      <c r="D37" s="13"/>
      <c r="E37" s="13"/>
      <c r="F37" s="13"/>
      <c r="G37" s="13"/>
      <c r="H37" s="13"/>
      <c r="I37" s="16"/>
      <c r="J37" s="16"/>
      <c r="K37" s="16"/>
      <c r="L37" s="16"/>
      <c r="M37" s="16"/>
      <c r="N37" s="16"/>
      <c r="O37" s="16"/>
      <c r="P37" s="16"/>
      <c r="Q37" s="16"/>
      <c r="R37" s="13"/>
      <c r="S37" s="13"/>
      <c r="T37" s="13"/>
      <c r="U37" s="13"/>
    </row>
    <row r="38" spans="1:21" ht="20.100000000000001" customHeight="1">
      <c r="A38" s="13"/>
      <c r="B38" s="13"/>
      <c r="C38" s="13"/>
      <c r="D38" s="13"/>
      <c r="E38" s="13"/>
      <c r="F38" s="13"/>
      <c r="G38" s="13"/>
      <c r="H38" s="13"/>
      <c r="I38" s="16"/>
      <c r="J38" s="16"/>
      <c r="K38" s="16"/>
      <c r="L38" s="16"/>
      <c r="M38" s="16"/>
      <c r="N38" s="16"/>
      <c r="O38" s="16"/>
      <c r="P38" s="16"/>
      <c r="Q38" s="16"/>
      <c r="R38" s="13"/>
      <c r="S38" s="13"/>
      <c r="T38" s="13"/>
      <c r="U38" s="13"/>
    </row>
    <row r="39" spans="1:21" ht="20.100000000000001" customHeight="1">
      <c r="A39" s="13"/>
      <c r="B39" s="13"/>
      <c r="C39" s="13"/>
      <c r="D39" s="13"/>
      <c r="E39" s="13"/>
      <c r="F39" s="13"/>
      <c r="G39" s="13"/>
      <c r="H39" s="13"/>
      <c r="I39" s="16"/>
      <c r="J39" s="16"/>
      <c r="K39" s="16"/>
      <c r="L39" s="16"/>
      <c r="M39" s="16"/>
      <c r="N39" s="16"/>
      <c r="O39" s="16"/>
      <c r="P39" s="16"/>
      <c r="Q39" s="16"/>
      <c r="R39" s="13"/>
      <c r="S39" s="13"/>
      <c r="T39" s="13"/>
      <c r="U39" s="13"/>
    </row>
    <row r="40" spans="1:21" ht="20.100000000000001" customHeight="1">
      <c r="A40" s="13"/>
      <c r="B40" s="13"/>
      <c r="C40" s="13"/>
      <c r="D40" s="13"/>
      <c r="E40" s="13"/>
      <c r="F40" s="13"/>
      <c r="G40" s="13"/>
      <c r="H40" s="13"/>
      <c r="I40" s="16"/>
      <c r="J40" s="16"/>
      <c r="K40" s="16"/>
      <c r="L40" s="16"/>
      <c r="M40" s="16"/>
      <c r="N40" s="16"/>
      <c r="O40" s="16"/>
      <c r="P40" s="16"/>
      <c r="Q40" s="16"/>
      <c r="R40" s="13"/>
      <c r="S40" s="13"/>
      <c r="T40" s="13"/>
      <c r="U40" s="13"/>
    </row>
    <row r="41" spans="1:21" ht="20.100000000000001" customHeight="1">
      <c r="A41" s="13"/>
      <c r="B41" s="13"/>
      <c r="C41" s="13"/>
      <c r="D41" s="13"/>
      <c r="E41" s="13"/>
      <c r="F41" s="13"/>
      <c r="G41" s="13"/>
      <c r="H41" s="13"/>
      <c r="I41" s="16"/>
      <c r="J41" s="16"/>
      <c r="K41" s="16"/>
      <c r="L41" s="16"/>
      <c r="M41" s="16"/>
      <c r="N41" s="16"/>
      <c r="O41" s="16"/>
      <c r="P41" s="16"/>
      <c r="Q41" s="16"/>
      <c r="R41" s="13"/>
      <c r="S41" s="13"/>
      <c r="T41" s="13"/>
      <c r="U41" s="13"/>
    </row>
    <row r="42" spans="1:21" ht="20.100000000000001" customHeight="1">
      <c r="A42" s="13"/>
      <c r="B42" s="13"/>
      <c r="C42" s="13"/>
      <c r="D42" s="13"/>
      <c r="E42" s="13"/>
      <c r="F42" s="13"/>
      <c r="G42" s="13"/>
      <c r="H42" s="13"/>
      <c r="I42" s="16"/>
      <c r="J42" s="16"/>
      <c r="K42" s="16"/>
      <c r="L42" s="16"/>
      <c r="M42" s="16"/>
      <c r="N42" s="16"/>
      <c r="O42" s="16"/>
      <c r="P42" s="16"/>
      <c r="Q42" s="16"/>
      <c r="R42" s="13"/>
      <c r="S42" s="13"/>
      <c r="T42" s="13"/>
      <c r="U42" s="13"/>
    </row>
    <row r="43" spans="1:21" ht="20.100000000000001" customHeight="1">
      <c r="A43" s="13"/>
      <c r="B43" s="13"/>
      <c r="C43" s="13"/>
      <c r="D43" s="13"/>
      <c r="E43" s="13"/>
      <c r="F43" s="13"/>
      <c r="G43" s="13"/>
      <c r="H43" s="13"/>
      <c r="I43" s="16"/>
      <c r="J43" s="16"/>
      <c r="K43" s="16"/>
      <c r="L43" s="16"/>
      <c r="M43" s="16"/>
      <c r="N43" s="16"/>
      <c r="O43" s="16"/>
      <c r="P43" s="16"/>
      <c r="Q43" s="16"/>
      <c r="R43" s="13"/>
      <c r="S43" s="13"/>
      <c r="T43" s="13"/>
      <c r="U43" s="13"/>
    </row>
    <row r="44" spans="1:21" ht="20.100000000000001" customHeight="1">
      <c r="A44" s="13"/>
      <c r="B44" s="13"/>
      <c r="C44" s="13"/>
      <c r="D44" s="13"/>
      <c r="E44" s="13"/>
      <c r="F44" s="13"/>
      <c r="G44" s="13"/>
      <c r="H44" s="13"/>
      <c r="I44" s="16"/>
      <c r="J44" s="16"/>
      <c r="K44" s="16"/>
      <c r="L44" s="16"/>
      <c r="M44" s="16"/>
      <c r="N44" s="16"/>
      <c r="O44" s="16"/>
      <c r="P44" s="16"/>
      <c r="Q44" s="16"/>
      <c r="R44" s="13"/>
      <c r="S44" s="13"/>
      <c r="T44" s="13"/>
      <c r="U44" s="13"/>
    </row>
    <row r="45" spans="1:21" ht="20.100000000000001" customHeight="1">
      <c r="A45" s="13"/>
      <c r="B45" s="13"/>
      <c r="C45" s="13"/>
      <c r="D45" s="13"/>
      <c r="E45" s="13"/>
      <c r="F45" s="13"/>
      <c r="G45" s="13"/>
      <c r="H45" s="13"/>
      <c r="I45" s="16"/>
      <c r="J45" s="16"/>
      <c r="K45" s="16"/>
      <c r="L45" s="16"/>
      <c r="M45" s="16"/>
      <c r="N45" s="16"/>
      <c r="O45" s="16"/>
      <c r="P45" s="16"/>
      <c r="Q45" s="16"/>
      <c r="R45" s="13"/>
      <c r="S45" s="13"/>
      <c r="T45" s="13"/>
      <c r="U45" s="13"/>
    </row>
    <row r="46" spans="1:21" ht="20.100000000000001" customHeight="1">
      <c r="A46" s="13"/>
      <c r="B46" s="13"/>
      <c r="C46" s="13"/>
      <c r="D46" s="13"/>
      <c r="E46" s="13"/>
      <c r="F46" s="13"/>
      <c r="G46" s="13"/>
      <c r="H46" s="13"/>
      <c r="I46" s="16"/>
      <c r="J46" s="16"/>
      <c r="K46" s="16"/>
      <c r="L46" s="16"/>
      <c r="M46" s="16"/>
      <c r="N46" s="16"/>
      <c r="O46" s="16"/>
      <c r="P46" s="16"/>
      <c r="Q46" s="16"/>
      <c r="R46" s="13"/>
      <c r="S46" s="13"/>
      <c r="T46" s="13"/>
      <c r="U46" s="13"/>
    </row>
    <row r="47" spans="1:21" ht="20.100000000000001" customHeight="1">
      <c r="A47" s="13"/>
      <c r="B47" s="13"/>
      <c r="C47" s="13"/>
      <c r="D47" s="13"/>
      <c r="E47" s="13"/>
      <c r="F47" s="13"/>
      <c r="G47" s="13"/>
      <c r="H47" s="13"/>
      <c r="I47" s="16"/>
      <c r="J47" s="16"/>
      <c r="K47" s="16"/>
      <c r="L47" s="16"/>
      <c r="M47" s="16"/>
      <c r="N47" s="16"/>
      <c r="O47" s="16"/>
      <c r="P47" s="16"/>
      <c r="Q47" s="16"/>
      <c r="R47" s="13"/>
      <c r="S47" s="13"/>
      <c r="T47" s="13"/>
      <c r="U47" s="13"/>
    </row>
    <row r="48" spans="1:21" ht="20.100000000000001" customHeight="1">
      <c r="A48" s="13"/>
      <c r="B48" s="13"/>
      <c r="C48" s="13"/>
      <c r="D48" s="13"/>
      <c r="E48" s="13"/>
      <c r="F48" s="13"/>
      <c r="G48" s="13"/>
      <c r="H48" s="13"/>
      <c r="I48" s="16"/>
      <c r="J48" s="16"/>
      <c r="K48" s="16"/>
      <c r="L48" s="16"/>
      <c r="M48" s="16"/>
      <c r="N48" s="16"/>
      <c r="O48" s="16"/>
      <c r="P48" s="16"/>
      <c r="Q48" s="16"/>
      <c r="R48" s="13"/>
      <c r="S48" s="13"/>
      <c r="T48" s="13"/>
      <c r="U48" s="13"/>
    </row>
    <row r="49" spans="1:21" ht="20.100000000000001" customHeight="1">
      <c r="A49" s="13"/>
      <c r="B49" s="13"/>
      <c r="C49" s="13"/>
      <c r="D49" s="13"/>
      <c r="E49" s="13"/>
      <c r="F49" s="13"/>
      <c r="G49" s="13"/>
      <c r="H49" s="13"/>
      <c r="I49" s="16"/>
      <c r="J49" s="16"/>
      <c r="K49" s="16"/>
      <c r="L49" s="16"/>
      <c r="M49" s="16"/>
      <c r="N49" s="16"/>
      <c r="O49" s="16"/>
      <c r="P49" s="16"/>
      <c r="Q49" s="16"/>
      <c r="R49" s="13"/>
      <c r="S49" s="13"/>
      <c r="T49" s="13"/>
      <c r="U49" s="13"/>
    </row>
    <row r="50" spans="1:21" ht="20.100000000000001" customHeight="1">
      <c r="A50" s="13"/>
      <c r="B50" s="13"/>
      <c r="C50" s="13"/>
      <c r="D50" s="13"/>
      <c r="E50" s="13"/>
      <c r="F50" s="13"/>
      <c r="G50" s="13"/>
      <c r="H50" s="13"/>
      <c r="I50" s="16"/>
      <c r="J50" s="16"/>
      <c r="K50" s="16"/>
      <c r="L50" s="16"/>
      <c r="M50" s="16"/>
      <c r="N50" s="16"/>
      <c r="O50" s="16"/>
      <c r="P50" s="16"/>
      <c r="Q50" s="16"/>
      <c r="R50" s="13"/>
      <c r="S50" s="13"/>
      <c r="T50" s="13"/>
      <c r="U50" s="13"/>
    </row>
    <row r="51" spans="1:21" ht="20.100000000000001" customHeight="1">
      <c r="A51" s="13"/>
      <c r="B51" s="13"/>
      <c r="C51" s="13"/>
      <c r="D51" s="13"/>
      <c r="E51" s="13"/>
      <c r="F51" s="13"/>
      <c r="G51" s="13"/>
      <c r="H51" s="13"/>
      <c r="I51" s="16"/>
      <c r="J51" s="16"/>
      <c r="K51" s="16"/>
      <c r="L51" s="16"/>
      <c r="M51" s="16"/>
      <c r="N51" s="16"/>
      <c r="O51" s="16"/>
      <c r="P51" s="16"/>
      <c r="Q51" s="16"/>
      <c r="R51" s="13"/>
      <c r="S51" s="13"/>
      <c r="T51" s="13"/>
      <c r="U51" s="13"/>
    </row>
    <row r="52" spans="1:21" ht="20.100000000000001" customHeight="1">
      <c r="A52" s="13"/>
      <c r="B52" s="13"/>
      <c r="C52" s="13"/>
      <c r="D52" s="13"/>
      <c r="E52" s="13"/>
      <c r="F52" s="13"/>
      <c r="G52" s="13"/>
      <c r="H52" s="13"/>
      <c r="I52" s="16"/>
      <c r="J52" s="16"/>
      <c r="K52" s="16"/>
      <c r="L52" s="16"/>
      <c r="M52" s="16"/>
      <c r="N52" s="16"/>
      <c r="O52" s="16"/>
      <c r="P52" s="16"/>
      <c r="Q52" s="16"/>
      <c r="R52" s="13"/>
      <c r="S52" s="13"/>
      <c r="T52" s="13"/>
      <c r="U52" s="13"/>
    </row>
    <row r="53" spans="1:21" ht="20.100000000000001" customHeight="1">
      <c r="A53" s="13"/>
      <c r="B53" s="13"/>
      <c r="C53" s="13"/>
      <c r="D53" s="13"/>
      <c r="E53" s="13"/>
      <c r="F53" s="13"/>
      <c r="G53" s="13"/>
      <c r="H53" s="13"/>
      <c r="I53" s="16"/>
      <c r="J53" s="16"/>
      <c r="K53" s="16"/>
      <c r="L53" s="16"/>
      <c r="M53" s="16"/>
      <c r="N53" s="16"/>
      <c r="O53" s="16"/>
      <c r="P53" s="16"/>
      <c r="Q53" s="16"/>
      <c r="R53" s="13"/>
      <c r="S53" s="13"/>
      <c r="T53" s="13"/>
      <c r="U53" s="13"/>
    </row>
    <row r="54" spans="1:21" ht="20.100000000000001" customHeight="1">
      <c r="A54" s="13"/>
      <c r="B54" s="13"/>
      <c r="C54" s="13"/>
      <c r="D54" s="13"/>
      <c r="E54" s="13"/>
      <c r="F54" s="13"/>
      <c r="G54" s="13"/>
      <c r="H54" s="13"/>
      <c r="I54" s="16"/>
      <c r="J54" s="16"/>
      <c r="K54" s="16"/>
      <c r="L54" s="16"/>
      <c r="M54" s="16"/>
      <c r="N54" s="16"/>
      <c r="O54" s="16"/>
      <c r="P54" s="16"/>
      <c r="Q54" s="16"/>
      <c r="R54" s="13"/>
      <c r="S54" s="13"/>
      <c r="T54" s="13"/>
      <c r="U54" s="13"/>
    </row>
    <row r="55" spans="1:21" ht="20.100000000000001" customHeight="1">
      <c r="A55" s="13"/>
      <c r="B55" s="13"/>
      <c r="C55" s="13"/>
      <c r="D55" s="13"/>
      <c r="E55" s="13"/>
      <c r="F55" s="13"/>
      <c r="G55" s="13"/>
      <c r="H55" s="13"/>
      <c r="I55" s="16"/>
      <c r="J55" s="16"/>
      <c r="K55" s="16"/>
      <c r="L55" s="16"/>
      <c r="M55" s="16"/>
      <c r="N55" s="16"/>
      <c r="O55" s="16"/>
      <c r="P55" s="16"/>
      <c r="Q55" s="16"/>
      <c r="R55" s="13"/>
      <c r="S55" s="13"/>
      <c r="T55" s="13"/>
      <c r="U55" s="13"/>
    </row>
    <row r="56" spans="1:21" ht="20.100000000000001" customHeight="1">
      <c r="A56" s="13"/>
      <c r="B56" s="13"/>
      <c r="C56" s="13"/>
      <c r="D56" s="13"/>
      <c r="E56" s="13"/>
      <c r="F56" s="13"/>
      <c r="G56" s="13"/>
      <c r="H56" s="13"/>
      <c r="I56" s="16"/>
      <c r="J56" s="16"/>
      <c r="K56" s="16"/>
      <c r="L56" s="16"/>
      <c r="M56" s="16"/>
      <c r="N56" s="16"/>
      <c r="O56" s="16"/>
      <c r="P56" s="16"/>
      <c r="Q56" s="16"/>
      <c r="R56" s="13"/>
      <c r="S56" s="13"/>
      <c r="T56" s="13"/>
      <c r="U56" s="13"/>
    </row>
    <row r="57" spans="1:21" ht="20.100000000000001" customHeight="1">
      <c r="A57" s="13"/>
      <c r="B57" s="13"/>
      <c r="C57" s="13"/>
      <c r="D57" s="13"/>
      <c r="E57" s="13"/>
      <c r="F57" s="13"/>
      <c r="G57" s="13"/>
      <c r="H57" s="13"/>
      <c r="I57" s="16"/>
      <c r="J57" s="16"/>
      <c r="K57" s="16"/>
      <c r="L57" s="16"/>
      <c r="M57" s="16"/>
      <c r="N57" s="16"/>
      <c r="O57" s="16"/>
      <c r="P57" s="16"/>
      <c r="Q57" s="16"/>
      <c r="R57" s="13"/>
      <c r="S57" s="13"/>
      <c r="T57" s="13"/>
      <c r="U57" s="13"/>
    </row>
    <row r="58" spans="1:21" ht="20.100000000000001" customHeight="1">
      <c r="A58" s="13"/>
      <c r="B58" s="13"/>
      <c r="C58" s="13"/>
      <c r="D58" s="13"/>
      <c r="E58" s="13"/>
      <c r="F58" s="13"/>
      <c r="G58" s="13"/>
      <c r="H58" s="13"/>
      <c r="I58" s="16"/>
      <c r="J58" s="16"/>
      <c r="K58" s="16"/>
      <c r="L58" s="16"/>
      <c r="M58" s="16"/>
      <c r="N58" s="16"/>
      <c r="O58" s="16"/>
      <c r="P58" s="16"/>
      <c r="Q58" s="16"/>
      <c r="R58" s="13"/>
      <c r="S58" s="13"/>
      <c r="T58" s="13"/>
      <c r="U58" s="13"/>
    </row>
    <row r="59" spans="1:21" ht="20.100000000000001" customHeight="1">
      <c r="A59" s="13"/>
      <c r="B59" s="13"/>
      <c r="C59" s="13"/>
      <c r="D59" s="13"/>
      <c r="E59" s="13"/>
      <c r="F59" s="13"/>
      <c r="G59" s="13"/>
      <c r="H59" s="13"/>
      <c r="I59" s="16"/>
      <c r="J59" s="16"/>
      <c r="K59" s="16"/>
      <c r="L59" s="16"/>
      <c r="M59" s="16"/>
      <c r="N59" s="16"/>
      <c r="O59" s="16"/>
      <c r="P59" s="16"/>
      <c r="Q59" s="16"/>
      <c r="R59" s="13"/>
      <c r="S59" s="13"/>
      <c r="T59" s="13"/>
      <c r="U59" s="13"/>
    </row>
    <row r="60" spans="1:21" ht="20.100000000000001" customHeight="1">
      <c r="A60" s="13"/>
      <c r="B60" s="13"/>
      <c r="C60" s="13"/>
      <c r="D60" s="13"/>
      <c r="E60" s="13"/>
      <c r="F60" s="13"/>
      <c r="G60" s="13"/>
      <c r="H60" s="13"/>
      <c r="I60" s="16"/>
      <c r="J60" s="16"/>
      <c r="K60" s="16"/>
      <c r="L60" s="16"/>
      <c r="M60" s="16"/>
      <c r="N60" s="16"/>
      <c r="O60" s="16"/>
      <c r="P60" s="16"/>
      <c r="Q60" s="16"/>
      <c r="R60" s="13"/>
      <c r="S60" s="13"/>
      <c r="T60" s="13"/>
      <c r="U60" s="13"/>
    </row>
    <row r="61" spans="1:21" ht="20.100000000000001" customHeight="1">
      <c r="A61" s="13"/>
      <c r="B61" s="13"/>
      <c r="C61" s="13"/>
      <c r="D61" s="13"/>
      <c r="E61" s="13"/>
      <c r="F61" s="13"/>
      <c r="G61" s="13"/>
      <c r="H61" s="13"/>
      <c r="I61" s="16"/>
      <c r="J61" s="16"/>
      <c r="K61" s="16"/>
      <c r="L61" s="16"/>
      <c r="M61" s="16"/>
      <c r="N61" s="16"/>
      <c r="O61" s="16"/>
      <c r="P61" s="16"/>
      <c r="Q61" s="16"/>
      <c r="R61" s="13"/>
      <c r="S61" s="13"/>
      <c r="T61" s="13"/>
      <c r="U61" s="13"/>
    </row>
    <row r="62" spans="1:21" ht="20.100000000000001" customHeight="1">
      <c r="A62" s="13"/>
      <c r="B62" s="13"/>
      <c r="C62" s="13"/>
      <c r="D62" s="13"/>
      <c r="E62" s="13"/>
      <c r="F62" s="13"/>
      <c r="G62" s="13"/>
      <c r="H62" s="13"/>
      <c r="I62" s="16"/>
      <c r="J62" s="16"/>
      <c r="K62" s="16"/>
      <c r="L62" s="16"/>
      <c r="M62" s="16"/>
      <c r="N62" s="16"/>
      <c r="O62" s="16"/>
      <c r="P62" s="16"/>
      <c r="Q62" s="16"/>
      <c r="R62" s="13"/>
      <c r="S62" s="13"/>
      <c r="T62" s="13"/>
      <c r="U62" s="13"/>
    </row>
    <row r="63" spans="1:21" ht="20.100000000000001" customHeight="1">
      <c r="A63" s="13"/>
      <c r="B63" s="13"/>
      <c r="C63" s="13"/>
      <c r="D63" s="13"/>
      <c r="E63" s="13"/>
      <c r="F63" s="13"/>
      <c r="G63" s="13"/>
      <c r="H63" s="13"/>
      <c r="I63" s="16"/>
      <c r="J63" s="16"/>
      <c r="K63" s="16"/>
      <c r="L63" s="16"/>
      <c r="M63" s="16"/>
      <c r="N63" s="16"/>
      <c r="O63" s="16"/>
      <c r="P63" s="16"/>
      <c r="Q63" s="16"/>
      <c r="R63" s="13"/>
      <c r="S63" s="13"/>
      <c r="T63" s="13"/>
      <c r="U63" s="13"/>
    </row>
    <row r="64" spans="1:21" ht="20.100000000000001" customHeight="1">
      <c r="A64" s="13"/>
      <c r="B64" s="13"/>
      <c r="C64" s="13"/>
      <c r="D64" s="13"/>
      <c r="E64" s="13"/>
      <c r="F64" s="13"/>
      <c r="G64" s="13"/>
      <c r="H64" s="13"/>
      <c r="I64" s="16"/>
      <c r="J64" s="16"/>
      <c r="K64" s="16"/>
      <c r="L64" s="16"/>
      <c r="M64" s="16"/>
      <c r="N64" s="16"/>
      <c r="O64" s="16"/>
      <c r="P64" s="16"/>
      <c r="Q64" s="16"/>
      <c r="R64" s="13"/>
      <c r="S64" s="13"/>
      <c r="T64" s="13"/>
      <c r="U64" s="13"/>
    </row>
    <row r="65" spans="1:21" ht="20.100000000000001" customHeight="1">
      <c r="A65" s="13"/>
      <c r="B65" s="13"/>
      <c r="C65" s="13"/>
      <c r="D65" s="13"/>
      <c r="E65" s="13"/>
      <c r="F65" s="13"/>
      <c r="G65" s="13"/>
      <c r="H65" s="13"/>
      <c r="I65" s="16"/>
      <c r="J65" s="16"/>
      <c r="K65" s="16"/>
      <c r="L65" s="16"/>
      <c r="M65" s="16"/>
      <c r="N65" s="16"/>
      <c r="O65" s="16"/>
      <c r="P65" s="16"/>
      <c r="Q65" s="16"/>
      <c r="R65" s="13"/>
      <c r="S65" s="13"/>
      <c r="T65" s="13"/>
      <c r="U65" s="13"/>
    </row>
    <row r="66" spans="1:21" ht="20.100000000000001" customHeight="1">
      <c r="A66" s="13"/>
      <c r="B66" s="13"/>
      <c r="C66" s="13"/>
      <c r="D66" s="13"/>
      <c r="E66" s="13"/>
      <c r="F66" s="13"/>
      <c r="G66" s="13"/>
      <c r="H66" s="13"/>
      <c r="I66" s="16"/>
      <c r="J66" s="16"/>
      <c r="K66" s="16"/>
      <c r="L66" s="16"/>
      <c r="M66" s="16"/>
      <c r="N66" s="16"/>
      <c r="O66" s="16"/>
      <c r="P66" s="16"/>
      <c r="Q66" s="16"/>
      <c r="R66" s="13"/>
      <c r="S66" s="13"/>
      <c r="T66" s="13"/>
      <c r="U66" s="13"/>
    </row>
    <row r="67" spans="1:21" ht="20.100000000000001" customHeight="1">
      <c r="A67" s="13"/>
      <c r="B67" s="13"/>
      <c r="C67" s="13"/>
      <c r="D67" s="13"/>
      <c r="E67" s="13"/>
      <c r="F67" s="13"/>
      <c r="G67" s="13"/>
      <c r="H67" s="13"/>
      <c r="I67" s="16"/>
      <c r="J67" s="16"/>
      <c r="K67" s="16"/>
      <c r="L67" s="16"/>
      <c r="M67" s="16"/>
      <c r="N67" s="16"/>
      <c r="O67" s="16"/>
      <c r="P67" s="16"/>
      <c r="Q67" s="16"/>
      <c r="R67" s="13"/>
      <c r="S67" s="13"/>
      <c r="T67" s="13"/>
      <c r="U67" s="13"/>
    </row>
    <row r="68" spans="1:21" ht="20.100000000000001" customHeight="1">
      <c r="A68" s="13"/>
      <c r="B68" s="13"/>
      <c r="C68" s="13"/>
      <c r="D68" s="13"/>
      <c r="E68" s="13"/>
      <c r="F68" s="13"/>
      <c r="G68" s="13"/>
      <c r="H68" s="13"/>
      <c r="I68" s="16"/>
      <c r="J68" s="16"/>
      <c r="K68" s="16"/>
      <c r="L68" s="16"/>
      <c r="M68" s="16"/>
      <c r="N68" s="16"/>
      <c r="O68" s="16"/>
      <c r="P68" s="16"/>
      <c r="Q68" s="16"/>
      <c r="R68" s="13"/>
      <c r="S68" s="13"/>
      <c r="T68" s="13"/>
      <c r="U68" s="13"/>
    </row>
    <row r="69" spans="1:21" ht="20.100000000000001" customHeight="1">
      <c r="A69" s="13"/>
      <c r="B69" s="13"/>
      <c r="C69" s="13"/>
      <c r="D69" s="13"/>
      <c r="E69" s="13"/>
      <c r="F69" s="13"/>
      <c r="G69" s="13"/>
      <c r="H69" s="13"/>
      <c r="I69" s="16"/>
      <c r="J69" s="16"/>
      <c r="K69" s="16"/>
      <c r="L69" s="16"/>
      <c r="M69" s="16"/>
      <c r="N69" s="16"/>
      <c r="O69" s="16"/>
      <c r="P69" s="16"/>
      <c r="Q69" s="16"/>
      <c r="R69" s="13"/>
      <c r="S69" s="13"/>
      <c r="T69" s="13"/>
      <c r="U69" s="13"/>
    </row>
    <row r="70" spans="1:21" ht="20.100000000000001" customHeight="1">
      <c r="A70" s="13"/>
      <c r="B70" s="13"/>
      <c r="C70" s="13"/>
      <c r="D70" s="13"/>
      <c r="E70" s="13"/>
      <c r="F70" s="13"/>
      <c r="G70" s="13"/>
      <c r="H70" s="13"/>
      <c r="I70" s="16"/>
      <c r="J70" s="16"/>
      <c r="K70" s="16"/>
      <c r="L70" s="16"/>
      <c r="M70" s="16"/>
      <c r="N70" s="16"/>
      <c r="O70" s="16"/>
      <c r="P70" s="16"/>
      <c r="Q70" s="16"/>
      <c r="R70" s="13"/>
      <c r="S70" s="13"/>
      <c r="T70" s="13"/>
      <c r="U70" s="13"/>
    </row>
    <row r="71" spans="1:21" ht="20.100000000000001" customHeight="1">
      <c r="A71" s="13"/>
      <c r="B71" s="13"/>
      <c r="C71" s="13"/>
      <c r="D71" s="13"/>
      <c r="E71" s="13"/>
      <c r="F71" s="13"/>
      <c r="G71" s="13"/>
      <c r="H71" s="13"/>
      <c r="I71" s="16"/>
      <c r="J71" s="16"/>
      <c r="K71" s="16"/>
      <c r="L71" s="16"/>
      <c r="M71" s="16"/>
      <c r="N71" s="16"/>
      <c r="O71" s="16"/>
      <c r="P71" s="16"/>
      <c r="Q71" s="16"/>
      <c r="R71" s="13"/>
      <c r="S71" s="13"/>
      <c r="T71" s="13"/>
      <c r="U71" s="13"/>
    </row>
    <row r="72" spans="1:21" ht="20.100000000000001" customHeight="1">
      <c r="A72" s="13"/>
      <c r="B72" s="13"/>
      <c r="C72" s="13"/>
      <c r="D72" s="13"/>
      <c r="E72" s="13"/>
      <c r="F72" s="13"/>
      <c r="G72" s="13"/>
      <c r="H72" s="13"/>
      <c r="I72" s="16"/>
      <c r="J72" s="16"/>
      <c r="K72" s="16"/>
      <c r="L72" s="16"/>
      <c r="M72" s="16"/>
      <c r="N72" s="16"/>
      <c r="O72" s="16"/>
      <c r="P72" s="16"/>
      <c r="Q72" s="16"/>
      <c r="R72" s="13"/>
      <c r="S72" s="13"/>
      <c r="T72" s="13"/>
      <c r="U72" s="13"/>
    </row>
    <row r="73" spans="1:21" ht="20.100000000000001" customHeight="1">
      <c r="A73" s="13"/>
      <c r="B73" s="13"/>
      <c r="C73" s="13"/>
      <c r="D73" s="13"/>
      <c r="E73" s="13"/>
      <c r="F73" s="13"/>
      <c r="G73" s="13"/>
      <c r="H73" s="13"/>
      <c r="I73" s="16"/>
      <c r="J73" s="16"/>
      <c r="K73" s="16"/>
      <c r="L73" s="16"/>
      <c r="M73" s="16"/>
      <c r="N73" s="16"/>
      <c r="O73" s="16"/>
      <c r="P73" s="16"/>
      <c r="Q73" s="16"/>
      <c r="R73" s="13"/>
      <c r="S73" s="13"/>
      <c r="T73" s="13"/>
      <c r="U73" s="13"/>
    </row>
    <row r="74" spans="1:21" ht="20.100000000000001" customHeight="1">
      <c r="A74" s="13"/>
      <c r="B74" s="13"/>
      <c r="C74" s="13"/>
      <c r="D74" s="13"/>
      <c r="E74" s="13"/>
      <c r="F74" s="13"/>
      <c r="G74" s="13"/>
      <c r="H74" s="13"/>
      <c r="I74" s="16"/>
      <c r="J74" s="16"/>
      <c r="K74" s="16"/>
      <c r="L74" s="16"/>
      <c r="M74" s="16"/>
      <c r="N74" s="16"/>
      <c r="O74" s="16"/>
      <c r="P74" s="16"/>
      <c r="Q74" s="16"/>
      <c r="R74" s="13"/>
      <c r="S74" s="13"/>
      <c r="T74" s="13"/>
      <c r="U74" s="13"/>
    </row>
    <row r="75" spans="1:21" ht="20.100000000000001" customHeight="1">
      <c r="A75" s="13"/>
      <c r="B75" s="13"/>
      <c r="C75" s="13"/>
      <c r="D75" s="13"/>
      <c r="E75" s="13"/>
      <c r="F75" s="13"/>
      <c r="G75" s="13"/>
      <c r="H75" s="13"/>
      <c r="I75" s="16"/>
      <c r="J75" s="16"/>
      <c r="K75" s="16"/>
      <c r="L75" s="16"/>
      <c r="M75" s="16"/>
      <c r="N75" s="16"/>
      <c r="O75" s="16"/>
      <c r="P75" s="16"/>
      <c r="Q75" s="16"/>
      <c r="R75" s="13"/>
      <c r="S75" s="13"/>
      <c r="T75" s="13"/>
      <c r="U75" s="13"/>
    </row>
    <row r="76" spans="1:21" ht="20.100000000000001" customHeight="1">
      <c r="A76" s="13"/>
      <c r="B76" s="13"/>
      <c r="C76" s="13"/>
      <c r="D76" s="13"/>
      <c r="E76" s="13"/>
      <c r="F76" s="13"/>
      <c r="G76" s="13"/>
      <c r="H76" s="13"/>
      <c r="I76" s="16"/>
      <c r="J76" s="16"/>
      <c r="K76" s="16"/>
      <c r="L76" s="16"/>
      <c r="M76" s="16"/>
      <c r="N76" s="16"/>
      <c r="O76" s="16"/>
      <c r="P76" s="16"/>
      <c r="Q76" s="16"/>
      <c r="R76" s="13"/>
      <c r="S76" s="13"/>
      <c r="T76" s="13"/>
      <c r="U76" s="13"/>
    </row>
    <row r="77" spans="1:21" ht="20.100000000000001" customHeight="1">
      <c r="A77" s="13"/>
      <c r="B77" s="13"/>
      <c r="C77" s="13"/>
      <c r="D77" s="13"/>
      <c r="E77" s="13"/>
      <c r="F77" s="13"/>
      <c r="G77" s="13"/>
      <c r="H77" s="13"/>
      <c r="I77" s="16"/>
      <c r="J77" s="16"/>
      <c r="K77" s="16"/>
      <c r="L77" s="16"/>
      <c r="M77" s="16"/>
      <c r="N77" s="16"/>
      <c r="O77" s="16"/>
      <c r="P77" s="16"/>
      <c r="Q77" s="16"/>
      <c r="R77" s="13"/>
      <c r="S77" s="13"/>
      <c r="T77" s="13"/>
      <c r="U77" s="13"/>
    </row>
    <row r="78" spans="1:21" ht="20.100000000000001" customHeight="1">
      <c r="A78" s="13"/>
      <c r="B78" s="13"/>
      <c r="C78" s="13"/>
      <c r="D78" s="13"/>
      <c r="E78" s="13"/>
      <c r="F78" s="13"/>
      <c r="G78" s="13"/>
      <c r="H78" s="13"/>
      <c r="I78" s="16"/>
      <c r="J78" s="16"/>
      <c r="K78" s="16"/>
      <c r="L78" s="16"/>
      <c r="M78" s="16"/>
      <c r="N78" s="16"/>
      <c r="O78" s="16"/>
      <c r="P78" s="16"/>
      <c r="Q78" s="16"/>
      <c r="R78" s="13"/>
      <c r="S78" s="13"/>
      <c r="T78" s="13"/>
      <c r="U78" s="13"/>
    </row>
    <row r="79" spans="1:21" ht="20.100000000000001" customHeight="1">
      <c r="A79" s="13"/>
      <c r="B79" s="13"/>
      <c r="C79" s="13"/>
      <c r="D79" s="13"/>
      <c r="E79" s="13"/>
      <c r="F79" s="13"/>
      <c r="G79" s="13"/>
      <c r="H79" s="13"/>
      <c r="I79" s="16"/>
      <c r="J79" s="16"/>
      <c r="K79" s="16"/>
      <c r="L79" s="16"/>
      <c r="M79" s="16"/>
      <c r="N79" s="16"/>
      <c r="O79" s="16"/>
      <c r="P79" s="16"/>
      <c r="Q79" s="16"/>
      <c r="R79" s="13"/>
      <c r="S79" s="13"/>
      <c r="T79" s="13"/>
      <c r="U79" s="13"/>
    </row>
    <row r="80" spans="1:21" ht="20.100000000000001" customHeight="1">
      <c r="A80" s="13"/>
      <c r="B80" s="13"/>
      <c r="C80" s="13"/>
      <c r="D80" s="13"/>
      <c r="E80" s="13"/>
      <c r="F80" s="13"/>
      <c r="G80" s="13"/>
      <c r="H80" s="13"/>
      <c r="I80" s="16"/>
      <c r="J80" s="16"/>
      <c r="K80" s="16"/>
      <c r="L80" s="16"/>
      <c r="M80" s="16"/>
      <c r="N80" s="16"/>
      <c r="O80" s="16"/>
      <c r="P80" s="16"/>
      <c r="Q80" s="16"/>
      <c r="R80" s="13"/>
      <c r="S80" s="13"/>
      <c r="T80" s="13"/>
      <c r="U80" s="13"/>
    </row>
    <row r="81" spans="1:21" ht="20.100000000000001" customHeight="1">
      <c r="A81" s="13"/>
      <c r="B81" s="13"/>
      <c r="C81" s="13"/>
      <c r="D81" s="13"/>
      <c r="E81" s="13"/>
      <c r="F81" s="13"/>
      <c r="G81" s="13"/>
      <c r="H81" s="13"/>
      <c r="I81" s="16"/>
      <c r="J81" s="16"/>
      <c r="K81" s="16"/>
      <c r="L81" s="16"/>
      <c r="M81" s="16"/>
      <c r="N81" s="16"/>
      <c r="O81" s="16"/>
      <c r="P81" s="16"/>
      <c r="Q81" s="16"/>
      <c r="R81" s="13"/>
      <c r="S81" s="13"/>
      <c r="T81" s="13"/>
      <c r="U81" s="13"/>
    </row>
    <row r="82" spans="1:21" ht="20.100000000000001" customHeight="1">
      <c r="A82" s="13"/>
      <c r="B82" s="13"/>
      <c r="C82" s="13"/>
      <c r="D82" s="13"/>
      <c r="E82" s="13"/>
      <c r="F82" s="13"/>
      <c r="G82" s="13"/>
      <c r="H82" s="13"/>
      <c r="I82" s="16"/>
      <c r="J82" s="16"/>
      <c r="K82" s="16"/>
      <c r="L82" s="16"/>
      <c r="M82" s="16"/>
      <c r="N82" s="16"/>
      <c r="O82" s="16"/>
      <c r="P82" s="16"/>
      <c r="Q82" s="16"/>
      <c r="R82" s="13"/>
      <c r="S82" s="13"/>
      <c r="T82" s="13"/>
      <c r="U82" s="13"/>
    </row>
    <row r="83" spans="1:21" ht="20.100000000000001" customHeight="1">
      <c r="A83" s="13"/>
      <c r="B83" s="13"/>
      <c r="C83" s="13"/>
      <c r="D83" s="13"/>
      <c r="E83" s="13"/>
      <c r="F83" s="13"/>
      <c r="G83" s="13"/>
      <c r="H83" s="13"/>
      <c r="I83" s="16"/>
      <c r="J83" s="16"/>
      <c r="K83" s="16"/>
      <c r="L83" s="16"/>
      <c r="M83" s="16"/>
      <c r="N83" s="16"/>
      <c r="O83" s="16"/>
      <c r="P83" s="16"/>
      <c r="Q83" s="16"/>
      <c r="R83" s="13"/>
      <c r="S83" s="13"/>
      <c r="T83" s="13"/>
      <c r="U83" s="13"/>
    </row>
    <row r="84" spans="1:21" ht="20.100000000000001" customHeight="1">
      <c r="A84" s="13"/>
      <c r="B84" s="13"/>
      <c r="C84" s="13"/>
      <c r="D84" s="13"/>
      <c r="E84" s="13"/>
      <c r="F84" s="13"/>
      <c r="G84" s="13"/>
      <c r="H84" s="13"/>
      <c r="I84" s="16"/>
      <c r="J84" s="16"/>
      <c r="K84" s="16"/>
      <c r="L84" s="16"/>
      <c r="M84" s="16"/>
      <c r="N84" s="16"/>
      <c r="O84" s="16"/>
      <c r="P84" s="16"/>
      <c r="Q84" s="16"/>
      <c r="R84" s="13"/>
      <c r="S84" s="13"/>
      <c r="T84" s="13"/>
      <c r="U84" s="13"/>
    </row>
    <row r="85" spans="1:21" ht="20.100000000000001" customHeight="1">
      <c r="A85" s="13"/>
      <c r="B85" s="13"/>
      <c r="C85" s="13"/>
      <c r="D85" s="13"/>
      <c r="E85" s="13"/>
      <c r="F85" s="13"/>
      <c r="G85" s="13"/>
      <c r="H85" s="13"/>
      <c r="I85" s="16"/>
      <c r="J85" s="16"/>
      <c r="K85" s="16"/>
      <c r="L85" s="16"/>
      <c r="M85" s="16"/>
      <c r="N85" s="16"/>
      <c r="O85" s="16"/>
      <c r="P85" s="16"/>
      <c r="Q85" s="16"/>
      <c r="R85" s="13"/>
      <c r="S85" s="13"/>
      <c r="T85" s="13"/>
      <c r="U85" s="13"/>
    </row>
    <row r="86" spans="1:21" ht="20.100000000000001" customHeight="1">
      <c r="A86" s="13"/>
      <c r="B86" s="13"/>
      <c r="C86" s="13"/>
      <c r="D86" s="13"/>
      <c r="E86" s="13"/>
      <c r="F86" s="13"/>
      <c r="G86" s="13"/>
      <c r="H86" s="13"/>
      <c r="I86" s="16"/>
      <c r="J86" s="16"/>
      <c r="K86" s="16"/>
      <c r="L86" s="16"/>
      <c r="M86" s="16"/>
      <c r="N86" s="16"/>
      <c r="O86" s="16"/>
      <c r="P86" s="16"/>
      <c r="Q86" s="16"/>
      <c r="R86" s="13"/>
      <c r="S86" s="13"/>
      <c r="T86" s="13"/>
      <c r="U86" s="13"/>
    </row>
    <row r="87" spans="1:21" ht="20.100000000000001" customHeight="1">
      <c r="A87" s="13"/>
      <c r="B87" s="13"/>
      <c r="C87" s="13"/>
      <c r="D87" s="13"/>
      <c r="E87" s="13"/>
      <c r="F87" s="13"/>
      <c r="G87" s="13"/>
      <c r="H87" s="13"/>
      <c r="I87" s="16"/>
      <c r="J87" s="16"/>
      <c r="K87" s="16"/>
      <c r="L87" s="16"/>
      <c r="M87" s="16"/>
      <c r="N87" s="16"/>
      <c r="O87" s="16"/>
      <c r="P87" s="16"/>
      <c r="Q87" s="16"/>
      <c r="R87" s="13"/>
      <c r="S87" s="13"/>
      <c r="T87" s="13"/>
      <c r="U87" s="13"/>
    </row>
    <row r="88" spans="1:21" ht="20.100000000000001" customHeight="1">
      <c r="A88" s="13"/>
      <c r="B88" s="13"/>
      <c r="C88" s="13"/>
      <c r="D88" s="13"/>
      <c r="E88" s="13"/>
      <c r="F88" s="13"/>
      <c r="G88" s="13"/>
      <c r="H88" s="13"/>
      <c r="I88" s="16"/>
      <c r="J88" s="16"/>
      <c r="K88" s="16"/>
      <c r="L88" s="16"/>
      <c r="M88" s="16"/>
      <c r="N88" s="16"/>
      <c r="O88" s="16"/>
      <c r="P88" s="16"/>
      <c r="Q88" s="16"/>
      <c r="R88" s="13"/>
      <c r="S88" s="13"/>
      <c r="T88" s="13"/>
      <c r="U88" s="13"/>
    </row>
    <row r="89" spans="1:21" ht="20.100000000000001" customHeight="1">
      <c r="A89" s="13"/>
      <c r="B89" s="13"/>
      <c r="C89" s="13"/>
      <c r="D89" s="13"/>
      <c r="E89" s="13"/>
      <c r="F89" s="13"/>
      <c r="G89" s="13"/>
      <c r="H89" s="13"/>
      <c r="I89" s="16"/>
      <c r="J89" s="16"/>
      <c r="K89" s="16"/>
      <c r="L89" s="16"/>
      <c r="M89" s="16"/>
      <c r="N89" s="16"/>
      <c r="O89" s="16"/>
      <c r="P89" s="16"/>
      <c r="Q89" s="16"/>
      <c r="R89" s="13"/>
      <c r="S89" s="13"/>
      <c r="T89" s="13"/>
      <c r="U89" s="13"/>
    </row>
    <row r="90" spans="1:21" ht="20.100000000000001" customHeight="1">
      <c r="A90" s="13"/>
      <c r="B90" s="13"/>
      <c r="C90" s="13"/>
      <c r="D90" s="13"/>
      <c r="E90" s="13"/>
      <c r="F90" s="13"/>
      <c r="G90" s="13"/>
      <c r="H90" s="13"/>
      <c r="I90" s="16"/>
      <c r="J90" s="16"/>
      <c r="K90" s="16"/>
      <c r="L90" s="16"/>
      <c r="M90" s="16"/>
      <c r="N90" s="16"/>
      <c r="O90" s="16"/>
      <c r="P90" s="16"/>
      <c r="Q90" s="16"/>
      <c r="R90" s="13"/>
      <c r="S90" s="13"/>
      <c r="T90" s="13"/>
      <c r="U90" s="13"/>
    </row>
    <row r="91" spans="1:21" ht="20.100000000000001" customHeight="1">
      <c r="A91" s="13"/>
      <c r="B91" s="13"/>
      <c r="C91" s="13"/>
      <c r="D91" s="13"/>
      <c r="E91" s="13"/>
      <c r="F91" s="13"/>
      <c r="G91" s="13"/>
      <c r="H91" s="13"/>
      <c r="I91" s="16"/>
      <c r="J91" s="16"/>
      <c r="K91" s="16"/>
      <c r="L91" s="16"/>
      <c r="M91" s="16"/>
      <c r="N91" s="16"/>
      <c r="O91" s="16"/>
      <c r="P91" s="16"/>
      <c r="Q91" s="16"/>
      <c r="R91" s="13"/>
      <c r="S91" s="13"/>
      <c r="T91" s="13"/>
      <c r="U91" s="13"/>
    </row>
    <row r="92" spans="1:21" ht="20.100000000000001" customHeight="1">
      <c r="A92" s="13"/>
      <c r="B92" s="13"/>
      <c r="C92" s="13"/>
      <c r="D92" s="13"/>
      <c r="E92" s="13"/>
      <c r="F92" s="13"/>
      <c r="G92" s="13"/>
      <c r="H92" s="13"/>
      <c r="I92" s="16"/>
      <c r="J92" s="16"/>
      <c r="K92" s="16"/>
      <c r="L92" s="16"/>
      <c r="M92" s="16"/>
      <c r="N92" s="16"/>
      <c r="O92" s="16"/>
      <c r="P92" s="16"/>
      <c r="Q92" s="16"/>
      <c r="R92" s="13"/>
      <c r="S92" s="13"/>
      <c r="T92" s="13"/>
      <c r="U92" s="13"/>
    </row>
    <row r="93" spans="1:21" ht="20.100000000000001" customHeight="1">
      <c r="A93" s="13"/>
      <c r="B93" s="13"/>
      <c r="C93" s="13"/>
      <c r="D93" s="13"/>
      <c r="E93" s="13"/>
      <c r="F93" s="13"/>
      <c r="G93" s="13"/>
      <c r="H93" s="13"/>
      <c r="I93" s="16"/>
      <c r="J93" s="16"/>
      <c r="K93" s="16"/>
      <c r="L93" s="16"/>
      <c r="M93" s="16"/>
      <c r="N93" s="16"/>
      <c r="O93" s="16"/>
      <c r="P93" s="16"/>
      <c r="Q93" s="16"/>
      <c r="R93" s="13"/>
      <c r="S93" s="13"/>
      <c r="T93" s="13"/>
      <c r="U93" s="13"/>
    </row>
    <row r="94" spans="1:21" ht="20.100000000000001" customHeight="1">
      <c r="A94" s="13"/>
      <c r="B94" s="13"/>
      <c r="C94" s="13"/>
      <c r="D94" s="13"/>
      <c r="E94" s="13"/>
      <c r="F94" s="13"/>
      <c r="G94" s="13"/>
      <c r="H94" s="13"/>
      <c r="I94" s="16"/>
      <c r="J94" s="16"/>
      <c r="K94" s="16"/>
      <c r="L94" s="16"/>
      <c r="M94" s="16"/>
      <c r="N94" s="16"/>
      <c r="O94" s="16"/>
      <c r="P94" s="16"/>
      <c r="Q94" s="16"/>
      <c r="R94" s="13"/>
      <c r="S94" s="13"/>
      <c r="T94" s="13"/>
      <c r="U94" s="13"/>
    </row>
    <row r="95" spans="1:21" ht="20.100000000000001" customHeight="1">
      <c r="A95" s="13"/>
      <c r="B95" s="13"/>
      <c r="C95" s="13"/>
      <c r="D95" s="13"/>
      <c r="E95" s="13"/>
      <c r="F95" s="13"/>
      <c r="G95" s="13"/>
      <c r="H95" s="13"/>
      <c r="I95" s="16"/>
      <c r="J95" s="16"/>
      <c r="K95" s="16"/>
      <c r="L95" s="16"/>
      <c r="M95" s="16"/>
      <c r="N95" s="16"/>
      <c r="O95" s="16"/>
      <c r="P95" s="16"/>
      <c r="Q95" s="16"/>
      <c r="R95" s="13"/>
      <c r="S95" s="13"/>
      <c r="T95" s="13"/>
      <c r="U95" s="13"/>
    </row>
    <row r="96" spans="1:21" ht="20.100000000000001" customHeight="1">
      <c r="A96" s="13"/>
      <c r="B96" s="13"/>
      <c r="C96" s="13"/>
      <c r="D96" s="13"/>
      <c r="E96" s="13"/>
      <c r="F96" s="13"/>
      <c r="G96" s="13"/>
      <c r="H96" s="13"/>
      <c r="I96" s="16"/>
      <c r="J96" s="16"/>
      <c r="K96" s="16"/>
      <c r="L96" s="16"/>
      <c r="M96" s="16"/>
      <c r="N96" s="16"/>
      <c r="O96" s="16"/>
      <c r="P96" s="16"/>
      <c r="Q96" s="16"/>
      <c r="R96" s="13"/>
      <c r="S96" s="13"/>
      <c r="T96" s="13"/>
      <c r="U96" s="13"/>
    </row>
    <row r="97" spans="1:21" ht="20.100000000000001" customHeight="1">
      <c r="A97" s="13"/>
      <c r="B97" s="13"/>
      <c r="C97" s="13"/>
      <c r="D97" s="13"/>
      <c r="E97" s="13"/>
      <c r="F97" s="13"/>
      <c r="G97" s="13"/>
      <c r="H97" s="13"/>
      <c r="I97" s="16"/>
      <c r="J97" s="16"/>
      <c r="K97" s="16"/>
      <c r="L97" s="16"/>
      <c r="M97" s="16"/>
      <c r="N97" s="16"/>
      <c r="O97" s="16"/>
      <c r="P97" s="16"/>
      <c r="Q97" s="16"/>
      <c r="R97" s="13"/>
      <c r="S97" s="13"/>
      <c r="T97" s="13"/>
      <c r="U97" s="13"/>
    </row>
    <row r="98" spans="1:21" ht="20.100000000000001" customHeight="1">
      <c r="A98" s="13"/>
      <c r="B98" s="13"/>
      <c r="C98" s="13"/>
      <c r="D98" s="13"/>
      <c r="E98" s="13"/>
      <c r="F98" s="13"/>
      <c r="G98" s="13"/>
      <c r="H98" s="13"/>
      <c r="I98" s="16"/>
      <c r="J98" s="16"/>
      <c r="K98" s="16"/>
      <c r="L98" s="16"/>
      <c r="M98" s="16"/>
      <c r="N98" s="16"/>
      <c r="O98" s="16"/>
      <c r="P98" s="16"/>
      <c r="Q98" s="16"/>
      <c r="R98" s="13"/>
      <c r="S98" s="13"/>
      <c r="T98" s="13"/>
      <c r="U98" s="13"/>
    </row>
    <row r="99" spans="1:21" ht="20.100000000000001" customHeight="1">
      <c r="A99" s="13"/>
      <c r="B99" s="13"/>
      <c r="C99" s="13"/>
      <c r="D99" s="13"/>
      <c r="E99" s="13"/>
      <c r="F99" s="13"/>
      <c r="G99" s="13"/>
      <c r="H99" s="13"/>
      <c r="I99" s="16"/>
      <c r="J99" s="16"/>
      <c r="K99" s="16"/>
      <c r="L99" s="16"/>
      <c r="M99" s="16"/>
      <c r="N99" s="16"/>
      <c r="O99" s="16"/>
      <c r="P99" s="16"/>
      <c r="Q99" s="16"/>
      <c r="R99" s="13"/>
      <c r="S99" s="13"/>
      <c r="T99" s="13"/>
      <c r="U99" s="13"/>
    </row>
    <row r="100" spans="1:21" ht="20.100000000000001" customHeight="1">
      <c r="A100" s="13"/>
      <c r="B100" s="13"/>
      <c r="C100" s="13"/>
      <c r="D100" s="13"/>
      <c r="E100" s="13"/>
      <c r="F100" s="13"/>
      <c r="G100" s="13"/>
      <c r="H100" s="13"/>
      <c r="I100" s="16"/>
      <c r="J100" s="16"/>
      <c r="K100" s="16"/>
      <c r="L100" s="16"/>
      <c r="M100" s="16"/>
      <c r="N100" s="16"/>
      <c r="O100" s="16"/>
      <c r="P100" s="16"/>
      <c r="Q100" s="16"/>
      <c r="R100" s="13"/>
      <c r="S100" s="13"/>
      <c r="T100" s="13"/>
      <c r="U100" s="13"/>
    </row>
    <row r="101" spans="1:21" ht="20.100000000000001" customHeight="1">
      <c r="A101" s="13"/>
      <c r="B101" s="13"/>
      <c r="C101" s="13"/>
      <c r="D101" s="13"/>
      <c r="E101" s="13"/>
      <c r="F101" s="13"/>
      <c r="G101" s="13"/>
      <c r="H101" s="13"/>
      <c r="I101" s="16"/>
      <c r="J101" s="16"/>
      <c r="K101" s="16"/>
      <c r="L101" s="16"/>
      <c r="M101" s="16"/>
      <c r="N101" s="16"/>
      <c r="O101" s="16"/>
      <c r="P101" s="16"/>
      <c r="Q101" s="16"/>
      <c r="R101" s="13"/>
      <c r="S101" s="13"/>
      <c r="T101" s="13"/>
      <c r="U101" s="13"/>
    </row>
    <row r="102" spans="1:21" ht="20.100000000000001" customHeight="1">
      <c r="A102" s="13"/>
      <c r="B102" s="13"/>
      <c r="C102" s="13"/>
      <c r="D102" s="13"/>
      <c r="E102" s="13"/>
      <c r="F102" s="13"/>
      <c r="G102" s="13"/>
      <c r="H102" s="13"/>
      <c r="I102" s="16"/>
      <c r="J102" s="16"/>
      <c r="K102" s="16"/>
      <c r="L102" s="16"/>
      <c r="M102" s="16"/>
      <c r="N102" s="16"/>
      <c r="O102" s="16"/>
      <c r="P102" s="16"/>
      <c r="Q102" s="16"/>
      <c r="R102" s="13"/>
      <c r="S102" s="13"/>
      <c r="T102" s="13"/>
      <c r="U102" s="13"/>
    </row>
    <row r="103" spans="1:21" ht="20.100000000000001" customHeight="1">
      <c r="A103" s="13"/>
      <c r="B103" s="13"/>
      <c r="C103" s="13"/>
      <c r="D103" s="13"/>
      <c r="E103" s="13"/>
      <c r="F103" s="13"/>
      <c r="G103" s="13"/>
      <c r="H103" s="13"/>
      <c r="I103" s="16"/>
      <c r="J103" s="16"/>
      <c r="K103" s="16"/>
      <c r="L103" s="16"/>
      <c r="M103" s="16"/>
      <c r="N103" s="16"/>
      <c r="O103" s="16"/>
      <c r="P103" s="16"/>
      <c r="Q103" s="16"/>
      <c r="R103" s="13"/>
      <c r="S103" s="13"/>
      <c r="T103" s="13"/>
      <c r="U103" s="13"/>
    </row>
    <row r="104" spans="1:21" ht="20.100000000000001" customHeight="1">
      <c r="A104" s="13"/>
      <c r="B104" s="13"/>
      <c r="C104" s="13"/>
      <c r="D104" s="13"/>
      <c r="E104" s="13"/>
      <c r="F104" s="13"/>
      <c r="G104" s="13"/>
      <c r="H104" s="13"/>
      <c r="I104" s="16"/>
      <c r="J104" s="16"/>
      <c r="K104" s="16"/>
      <c r="L104" s="16"/>
      <c r="M104" s="16"/>
      <c r="N104" s="16"/>
      <c r="O104" s="16"/>
      <c r="P104" s="16"/>
      <c r="Q104" s="16"/>
      <c r="R104" s="13"/>
      <c r="S104" s="13"/>
      <c r="T104" s="13"/>
      <c r="U104" s="13"/>
    </row>
    <row r="105" spans="1:21" ht="20.100000000000001" customHeight="1">
      <c r="A105" s="13"/>
      <c r="B105" s="13"/>
      <c r="C105" s="13"/>
      <c r="D105" s="13"/>
      <c r="E105" s="13"/>
      <c r="F105" s="13"/>
      <c r="G105" s="13"/>
      <c r="H105" s="13"/>
      <c r="I105" s="16"/>
      <c r="J105" s="16"/>
      <c r="K105" s="16"/>
      <c r="L105" s="16"/>
      <c r="M105" s="16"/>
      <c r="N105" s="16"/>
      <c r="O105" s="16"/>
      <c r="P105" s="16"/>
      <c r="Q105" s="16"/>
      <c r="R105" s="13"/>
      <c r="S105" s="13"/>
      <c r="T105" s="13"/>
      <c r="U105" s="13"/>
    </row>
    <row r="106" spans="1:21" ht="20.100000000000001" customHeight="1">
      <c r="A106" s="13"/>
      <c r="B106" s="13"/>
      <c r="C106" s="13"/>
      <c r="D106" s="13"/>
      <c r="E106" s="13"/>
      <c r="F106" s="13"/>
      <c r="G106" s="13"/>
      <c r="H106" s="13"/>
      <c r="I106" s="16"/>
      <c r="J106" s="16"/>
      <c r="K106" s="16"/>
      <c r="L106" s="16"/>
      <c r="M106" s="16"/>
      <c r="N106" s="16"/>
      <c r="O106" s="16"/>
      <c r="P106" s="16"/>
      <c r="Q106" s="16"/>
      <c r="R106" s="13"/>
      <c r="S106" s="13"/>
      <c r="T106" s="13"/>
      <c r="U106" s="13"/>
    </row>
    <row r="107" spans="1:21" ht="20.100000000000001" customHeight="1">
      <c r="A107" s="13"/>
      <c r="B107" s="13"/>
      <c r="C107" s="13"/>
      <c r="D107" s="13"/>
      <c r="E107" s="13"/>
      <c r="F107" s="13"/>
      <c r="G107" s="13"/>
      <c r="H107" s="13"/>
      <c r="I107" s="16"/>
      <c r="J107" s="16"/>
      <c r="K107" s="16"/>
      <c r="L107" s="16"/>
      <c r="M107" s="16"/>
      <c r="N107" s="16"/>
      <c r="O107" s="16"/>
      <c r="P107" s="16"/>
      <c r="Q107" s="16"/>
      <c r="R107" s="13"/>
      <c r="S107" s="13"/>
      <c r="T107" s="13"/>
      <c r="U107" s="13"/>
    </row>
    <row r="108" spans="1:21" ht="20.100000000000001" customHeight="1">
      <c r="A108" s="13"/>
      <c r="B108" s="13"/>
      <c r="C108" s="13"/>
      <c r="D108" s="13"/>
      <c r="E108" s="13"/>
      <c r="F108" s="13"/>
      <c r="G108" s="13"/>
      <c r="H108" s="13"/>
      <c r="I108" s="16"/>
      <c r="J108" s="16"/>
      <c r="K108" s="16"/>
      <c r="L108" s="16"/>
      <c r="M108" s="16"/>
      <c r="N108" s="16"/>
      <c r="O108" s="16"/>
      <c r="P108" s="16"/>
      <c r="Q108" s="16"/>
      <c r="R108" s="13"/>
      <c r="S108" s="13"/>
      <c r="T108" s="13"/>
      <c r="U108" s="13"/>
    </row>
    <row r="109" spans="1:21" ht="20.100000000000001" customHeight="1">
      <c r="A109" s="13"/>
      <c r="B109" s="13"/>
      <c r="C109" s="13"/>
      <c r="D109" s="13"/>
      <c r="E109" s="13"/>
      <c r="F109" s="13"/>
      <c r="G109" s="13"/>
      <c r="H109" s="13"/>
      <c r="I109" s="16"/>
      <c r="J109" s="16"/>
      <c r="K109" s="16"/>
      <c r="L109" s="16"/>
      <c r="M109" s="16"/>
      <c r="N109" s="16"/>
      <c r="O109" s="16"/>
      <c r="P109" s="16"/>
      <c r="Q109" s="16"/>
      <c r="R109" s="13"/>
      <c r="S109" s="13"/>
      <c r="T109" s="13"/>
      <c r="U109" s="13"/>
    </row>
    <row r="110" spans="1:21" ht="20.100000000000001" customHeight="1">
      <c r="A110" s="13"/>
      <c r="B110" s="13"/>
      <c r="C110" s="13"/>
      <c r="D110" s="13"/>
      <c r="E110" s="13"/>
      <c r="F110" s="13"/>
      <c r="G110" s="13"/>
      <c r="H110" s="13"/>
      <c r="I110" s="16"/>
      <c r="J110" s="16"/>
      <c r="K110" s="16"/>
      <c r="L110" s="16"/>
      <c r="M110" s="16"/>
      <c r="N110" s="16"/>
      <c r="O110" s="16"/>
      <c r="P110" s="16"/>
      <c r="Q110" s="16"/>
      <c r="R110" s="13"/>
      <c r="S110" s="13"/>
      <c r="T110" s="13"/>
      <c r="U110" s="13"/>
    </row>
    <row r="111" spans="1:21" ht="20.100000000000001" customHeight="1">
      <c r="A111" s="13"/>
      <c r="B111" s="13"/>
      <c r="C111" s="13"/>
      <c r="D111" s="13"/>
      <c r="E111" s="13"/>
      <c r="F111" s="13"/>
      <c r="G111" s="13"/>
      <c r="H111" s="13"/>
      <c r="I111" s="16"/>
      <c r="J111" s="16"/>
      <c r="K111" s="16"/>
      <c r="L111" s="16"/>
      <c r="M111" s="16"/>
      <c r="N111" s="16"/>
      <c r="O111" s="16"/>
      <c r="P111" s="16"/>
      <c r="Q111" s="16"/>
      <c r="R111" s="13"/>
      <c r="S111" s="13"/>
      <c r="T111" s="13"/>
      <c r="U111" s="13"/>
    </row>
    <row r="112" spans="1:21" ht="20.100000000000001" customHeight="1">
      <c r="A112" s="13"/>
      <c r="B112" s="13"/>
      <c r="C112" s="13"/>
      <c r="D112" s="13"/>
      <c r="E112" s="13"/>
      <c r="F112" s="13"/>
      <c r="G112" s="13"/>
      <c r="H112" s="13"/>
      <c r="I112" s="16"/>
      <c r="J112" s="16"/>
      <c r="K112" s="16"/>
      <c r="L112" s="16"/>
      <c r="M112" s="16"/>
      <c r="N112" s="16"/>
      <c r="O112" s="16"/>
      <c r="P112" s="16"/>
      <c r="Q112" s="16"/>
      <c r="R112" s="13"/>
      <c r="S112" s="13"/>
      <c r="T112" s="13"/>
      <c r="U112" s="13"/>
    </row>
    <row r="113" spans="1:21" ht="20.100000000000001" customHeight="1">
      <c r="A113" s="13"/>
      <c r="B113" s="13"/>
      <c r="C113" s="13"/>
      <c r="D113" s="13"/>
      <c r="E113" s="13"/>
      <c r="F113" s="13"/>
      <c r="G113" s="13"/>
      <c r="H113" s="13"/>
      <c r="I113" s="16"/>
      <c r="J113" s="16"/>
      <c r="K113" s="16"/>
      <c r="L113" s="16"/>
      <c r="M113" s="16"/>
      <c r="N113" s="16"/>
      <c r="O113" s="16"/>
      <c r="P113" s="16"/>
      <c r="Q113" s="16"/>
      <c r="R113" s="13"/>
      <c r="S113" s="13"/>
      <c r="T113" s="13"/>
      <c r="U113" s="13"/>
    </row>
    <row r="114" spans="1:21" ht="20.100000000000001" customHeight="1">
      <c r="A114" s="13"/>
      <c r="B114" s="13"/>
      <c r="C114" s="13"/>
      <c r="D114" s="13"/>
      <c r="E114" s="13"/>
      <c r="F114" s="13"/>
      <c r="G114" s="13"/>
      <c r="H114" s="13"/>
      <c r="I114" s="16"/>
      <c r="J114" s="16"/>
      <c r="K114" s="16"/>
      <c r="L114" s="16"/>
      <c r="M114" s="16"/>
      <c r="N114" s="16"/>
      <c r="O114" s="16"/>
      <c r="P114" s="16"/>
      <c r="Q114" s="16"/>
      <c r="R114" s="13"/>
      <c r="S114" s="13"/>
      <c r="T114" s="13"/>
      <c r="U114" s="13"/>
    </row>
    <row r="115" spans="1:21" ht="20.100000000000001" customHeight="1">
      <c r="A115" s="13"/>
      <c r="B115" s="13"/>
      <c r="C115" s="13"/>
      <c r="D115" s="13"/>
      <c r="E115" s="13"/>
      <c r="F115" s="13"/>
      <c r="G115" s="13"/>
      <c r="H115" s="13"/>
      <c r="I115" s="16"/>
      <c r="J115" s="16"/>
      <c r="K115" s="16"/>
      <c r="L115" s="16"/>
      <c r="M115" s="16"/>
      <c r="N115" s="16"/>
      <c r="O115" s="16"/>
      <c r="P115" s="16"/>
      <c r="Q115" s="16"/>
      <c r="R115" s="13"/>
      <c r="S115" s="13"/>
      <c r="T115" s="13"/>
      <c r="U115" s="13"/>
    </row>
    <row r="116" spans="1:21" ht="20.100000000000001" customHeight="1">
      <c r="A116" s="13"/>
      <c r="B116" s="13"/>
      <c r="C116" s="13"/>
      <c r="D116" s="13"/>
      <c r="E116" s="13"/>
      <c r="F116" s="13"/>
      <c r="G116" s="13"/>
      <c r="H116" s="13"/>
      <c r="I116" s="16"/>
      <c r="J116" s="16"/>
      <c r="K116" s="16"/>
      <c r="L116" s="16"/>
      <c r="M116" s="16"/>
      <c r="N116" s="16"/>
      <c r="O116" s="16"/>
      <c r="P116" s="16"/>
      <c r="Q116" s="16"/>
      <c r="R116" s="13"/>
      <c r="S116" s="13"/>
      <c r="T116" s="13"/>
      <c r="U116" s="13"/>
    </row>
    <row r="117" spans="1:21" ht="20.100000000000001" customHeight="1">
      <c r="A117" s="13"/>
      <c r="B117" s="13"/>
      <c r="C117" s="13"/>
      <c r="D117" s="13"/>
      <c r="E117" s="13"/>
      <c r="F117" s="13"/>
      <c r="G117" s="13"/>
      <c r="H117" s="13"/>
      <c r="I117" s="16"/>
      <c r="J117" s="16"/>
      <c r="K117" s="16"/>
      <c r="L117" s="16"/>
      <c r="M117" s="16"/>
      <c r="N117" s="16"/>
      <c r="O117" s="16"/>
      <c r="P117" s="16"/>
      <c r="Q117" s="16"/>
      <c r="R117" s="13"/>
      <c r="S117" s="13"/>
      <c r="T117" s="13"/>
      <c r="U117" s="13"/>
    </row>
    <row r="118" spans="1:21" ht="20.100000000000001" customHeight="1">
      <c r="A118" s="13"/>
      <c r="B118" s="13"/>
      <c r="C118" s="13"/>
      <c r="D118" s="13"/>
      <c r="E118" s="13"/>
      <c r="F118" s="13"/>
      <c r="G118" s="13"/>
      <c r="H118" s="13"/>
      <c r="I118" s="16"/>
      <c r="J118" s="16"/>
      <c r="K118" s="16"/>
      <c r="L118" s="16"/>
      <c r="M118" s="16"/>
      <c r="N118" s="16"/>
      <c r="O118" s="16"/>
      <c r="P118" s="16"/>
      <c r="Q118" s="16"/>
      <c r="R118" s="13"/>
      <c r="S118" s="13"/>
      <c r="T118" s="13"/>
      <c r="U118" s="13"/>
    </row>
    <row r="119" spans="1:21" ht="20.100000000000001" customHeight="1">
      <c r="A119" s="13"/>
      <c r="B119" s="13"/>
      <c r="C119" s="13"/>
      <c r="D119" s="13"/>
      <c r="E119" s="13"/>
      <c r="F119" s="13"/>
      <c r="G119" s="13"/>
      <c r="H119" s="13"/>
      <c r="I119" s="16"/>
      <c r="J119" s="16"/>
      <c r="K119" s="16"/>
      <c r="L119" s="16"/>
      <c r="M119" s="16"/>
      <c r="N119" s="16"/>
      <c r="O119" s="16"/>
      <c r="P119" s="16"/>
      <c r="Q119" s="16"/>
      <c r="R119" s="13"/>
      <c r="S119" s="13"/>
      <c r="T119" s="13"/>
      <c r="U119" s="13"/>
    </row>
    <row r="120" spans="1:21" ht="20.100000000000001" customHeight="1">
      <c r="A120" s="13"/>
      <c r="B120" s="13"/>
      <c r="C120" s="13"/>
      <c r="D120" s="13"/>
      <c r="E120" s="13"/>
      <c r="F120" s="13"/>
      <c r="G120" s="13"/>
      <c r="H120" s="13"/>
      <c r="I120" s="16"/>
      <c r="J120" s="16"/>
      <c r="K120" s="16"/>
      <c r="L120" s="16"/>
      <c r="M120" s="16"/>
      <c r="N120" s="16"/>
      <c r="O120" s="16"/>
      <c r="P120" s="16"/>
      <c r="Q120" s="16"/>
      <c r="R120" s="13"/>
      <c r="S120" s="13"/>
      <c r="T120" s="13"/>
      <c r="U120" s="13"/>
    </row>
    <row r="121" spans="1:21" ht="20.100000000000001" customHeight="1">
      <c r="A121" s="13"/>
      <c r="B121" s="13"/>
      <c r="C121" s="13"/>
      <c r="D121" s="13"/>
      <c r="E121" s="13"/>
      <c r="F121" s="13"/>
      <c r="G121" s="13"/>
      <c r="H121" s="13"/>
      <c r="I121" s="16"/>
      <c r="J121" s="16"/>
      <c r="K121" s="16"/>
      <c r="L121" s="16"/>
      <c r="M121" s="16"/>
      <c r="N121" s="16"/>
      <c r="O121" s="16"/>
      <c r="P121" s="16"/>
      <c r="Q121" s="16"/>
      <c r="R121" s="13"/>
      <c r="S121" s="13"/>
      <c r="T121" s="13"/>
      <c r="U121" s="13"/>
    </row>
    <row r="122" spans="1:21" ht="20.100000000000001" customHeight="1">
      <c r="A122" s="13"/>
      <c r="B122" s="13"/>
      <c r="C122" s="13"/>
      <c r="D122" s="13"/>
      <c r="E122" s="13"/>
      <c r="F122" s="13"/>
      <c r="G122" s="13"/>
      <c r="H122" s="13"/>
      <c r="I122" s="16"/>
      <c r="J122" s="16"/>
      <c r="K122" s="16"/>
      <c r="L122" s="16"/>
      <c r="M122" s="16"/>
      <c r="N122" s="16"/>
      <c r="O122" s="16"/>
      <c r="P122" s="16"/>
      <c r="Q122" s="16"/>
      <c r="R122" s="13"/>
      <c r="S122" s="13"/>
      <c r="T122" s="13"/>
      <c r="U122" s="13"/>
    </row>
    <row r="123" spans="1:21" ht="20.100000000000001" customHeight="1">
      <c r="A123" s="13"/>
      <c r="B123" s="13"/>
      <c r="C123" s="13"/>
      <c r="D123" s="13"/>
      <c r="E123" s="13"/>
      <c r="F123" s="13"/>
      <c r="G123" s="13"/>
      <c r="H123" s="13"/>
      <c r="I123" s="16"/>
      <c r="J123" s="16"/>
      <c r="K123" s="16"/>
      <c r="L123" s="16"/>
      <c r="M123" s="16"/>
      <c r="N123" s="16"/>
      <c r="O123" s="16"/>
      <c r="P123" s="16"/>
      <c r="Q123" s="16"/>
      <c r="R123" s="13"/>
      <c r="S123" s="13"/>
      <c r="T123" s="13"/>
      <c r="U123" s="13"/>
    </row>
    <row r="124" spans="1:21" ht="20.100000000000001" customHeight="1">
      <c r="A124" s="13"/>
      <c r="B124" s="13"/>
      <c r="C124" s="13"/>
      <c r="D124" s="13"/>
      <c r="E124" s="13"/>
      <c r="F124" s="13"/>
      <c r="G124" s="13"/>
      <c r="H124" s="13"/>
      <c r="I124" s="16"/>
      <c r="J124" s="16"/>
      <c r="K124" s="16"/>
      <c r="L124" s="16"/>
      <c r="M124" s="16"/>
      <c r="N124" s="16"/>
      <c r="O124" s="16"/>
      <c r="P124" s="16"/>
      <c r="Q124" s="16"/>
      <c r="R124" s="13"/>
      <c r="S124" s="13"/>
      <c r="T124" s="13"/>
      <c r="U124" s="13"/>
    </row>
    <row r="125" spans="1:21" ht="20.100000000000001" customHeight="1">
      <c r="A125" s="13"/>
      <c r="B125" s="13"/>
      <c r="C125" s="13"/>
      <c r="D125" s="13"/>
      <c r="E125" s="13"/>
      <c r="F125" s="13"/>
      <c r="G125" s="13"/>
      <c r="H125" s="13"/>
      <c r="I125" s="16"/>
      <c r="J125" s="16"/>
      <c r="K125" s="16"/>
      <c r="L125" s="16"/>
      <c r="M125" s="16"/>
      <c r="N125" s="16"/>
      <c r="O125" s="16"/>
      <c r="P125" s="16"/>
      <c r="Q125" s="16"/>
      <c r="R125" s="13"/>
      <c r="S125" s="13"/>
      <c r="T125" s="13"/>
      <c r="U125" s="13"/>
    </row>
    <row r="126" spans="1:21" ht="20.100000000000001" customHeight="1">
      <c r="A126" s="13"/>
      <c r="B126" s="13"/>
      <c r="C126" s="13"/>
      <c r="D126" s="13"/>
      <c r="E126" s="13"/>
      <c r="F126" s="13"/>
      <c r="G126" s="13"/>
      <c r="H126" s="13"/>
      <c r="I126" s="16"/>
      <c r="J126" s="16"/>
      <c r="K126" s="16"/>
      <c r="L126" s="16"/>
      <c r="M126" s="16"/>
      <c r="N126" s="16"/>
      <c r="O126" s="16"/>
      <c r="P126" s="16"/>
      <c r="Q126" s="16"/>
      <c r="R126" s="13"/>
      <c r="S126" s="13"/>
      <c r="T126" s="13"/>
      <c r="U126" s="13"/>
    </row>
    <row r="127" spans="1:21" ht="20.100000000000001" customHeight="1">
      <c r="A127" s="13"/>
      <c r="B127" s="13"/>
      <c r="C127" s="13"/>
      <c r="D127" s="13"/>
      <c r="E127" s="13"/>
      <c r="F127" s="13"/>
      <c r="G127" s="13"/>
      <c r="H127" s="13"/>
      <c r="I127" s="16"/>
      <c r="J127" s="16"/>
      <c r="K127" s="16"/>
      <c r="L127" s="16"/>
      <c r="M127" s="16"/>
      <c r="N127" s="16"/>
      <c r="O127" s="16"/>
      <c r="P127" s="16"/>
      <c r="Q127" s="16"/>
      <c r="R127" s="13"/>
      <c r="S127" s="13"/>
      <c r="T127" s="13"/>
      <c r="U127" s="13"/>
    </row>
    <row r="128" spans="1:21" ht="20.100000000000001" customHeight="1">
      <c r="A128" s="13"/>
      <c r="B128" s="13"/>
      <c r="C128" s="13"/>
      <c r="D128" s="13"/>
      <c r="E128" s="13"/>
      <c r="F128" s="13"/>
      <c r="G128" s="13"/>
      <c r="H128" s="13"/>
      <c r="I128" s="16"/>
      <c r="J128" s="16"/>
      <c r="K128" s="16"/>
      <c r="L128" s="16"/>
      <c r="M128" s="16"/>
      <c r="N128" s="16"/>
      <c r="O128" s="16"/>
      <c r="P128" s="16"/>
      <c r="Q128" s="16"/>
      <c r="R128" s="13"/>
      <c r="S128" s="13"/>
      <c r="T128" s="13"/>
      <c r="U128" s="13"/>
    </row>
    <row r="129" spans="1:21" ht="20.100000000000001" customHeight="1">
      <c r="A129" s="13"/>
      <c r="B129" s="13"/>
      <c r="C129" s="13"/>
      <c r="D129" s="13"/>
      <c r="E129" s="13"/>
      <c r="F129" s="13"/>
      <c r="G129" s="13"/>
      <c r="H129" s="13"/>
      <c r="I129" s="16"/>
      <c r="J129" s="16"/>
      <c r="K129" s="16"/>
      <c r="L129" s="16"/>
      <c r="M129" s="16"/>
      <c r="N129" s="16"/>
      <c r="O129" s="16"/>
      <c r="P129" s="16"/>
      <c r="Q129" s="16"/>
      <c r="R129" s="13"/>
      <c r="S129" s="13"/>
      <c r="T129" s="13"/>
      <c r="U129" s="13"/>
    </row>
    <row r="130" spans="1:21" ht="20.100000000000001" customHeight="1">
      <c r="A130" s="13"/>
      <c r="B130" s="13"/>
      <c r="C130" s="13"/>
      <c r="D130" s="13"/>
      <c r="E130" s="13"/>
      <c r="F130" s="13"/>
      <c r="G130" s="13"/>
      <c r="H130" s="13"/>
      <c r="I130" s="16"/>
      <c r="J130" s="16"/>
      <c r="K130" s="16"/>
      <c r="L130" s="16"/>
      <c r="M130" s="16"/>
      <c r="N130" s="16"/>
      <c r="O130" s="16"/>
      <c r="P130" s="16"/>
      <c r="Q130" s="16"/>
      <c r="R130" s="13"/>
      <c r="S130" s="13"/>
      <c r="T130" s="13"/>
      <c r="U130" s="13"/>
    </row>
    <row r="131" spans="1:21" ht="20.100000000000001" customHeight="1">
      <c r="A131" s="13"/>
      <c r="B131" s="13"/>
      <c r="C131" s="13"/>
      <c r="D131" s="13"/>
      <c r="E131" s="13"/>
      <c r="F131" s="13"/>
      <c r="G131" s="13"/>
      <c r="H131" s="13"/>
      <c r="I131" s="16"/>
      <c r="J131" s="16"/>
      <c r="K131" s="16"/>
      <c r="L131" s="16"/>
      <c r="M131" s="16"/>
      <c r="N131" s="16"/>
      <c r="O131" s="16"/>
      <c r="P131" s="16"/>
      <c r="Q131" s="16"/>
      <c r="R131" s="13"/>
      <c r="S131" s="13"/>
      <c r="T131" s="13"/>
      <c r="U131" s="13"/>
    </row>
    <row r="132" spans="1:21" ht="20.100000000000001" customHeight="1">
      <c r="A132" s="13"/>
      <c r="B132" s="13"/>
      <c r="C132" s="13"/>
      <c r="D132" s="13"/>
      <c r="E132" s="13"/>
      <c r="F132" s="13"/>
      <c r="G132" s="13"/>
      <c r="H132" s="13"/>
      <c r="I132" s="16"/>
      <c r="J132" s="16"/>
      <c r="K132" s="16"/>
      <c r="L132" s="16"/>
      <c r="M132" s="16"/>
      <c r="N132" s="16"/>
      <c r="O132" s="16"/>
      <c r="P132" s="16"/>
      <c r="Q132" s="16"/>
      <c r="R132" s="13"/>
      <c r="S132" s="13"/>
      <c r="T132" s="13"/>
      <c r="U132" s="13"/>
    </row>
    <row r="133" spans="1:21" ht="20.100000000000001" customHeight="1">
      <c r="A133" s="13"/>
      <c r="B133" s="13"/>
      <c r="C133" s="13"/>
      <c r="D133" s="13"/>
      <c r="E133" s="13"/>
      <c r="F133" s="13"/>
      <c r="G133" s="13"/>
      <c r="H133" s="13"/>
      <c r="I133" s="16"/>
      <c r="J133" s="16"/>
      <c r="K133" s="16"/>
      <c r="L133" s="16"/>
      <c r="M133" s="16"/>
      <c r="N133" s="16"/>
      <c r="O133" s="16"/>
      <c r="P133" s="16"/>
      <c r="Q133" s="16"/>
      <c r="R133" s="13"/>
      <c r="S133" s="13"/>
      <c r="T133" s="13"/>
      <c r="U133" s="13"/>
    </row>
    <row r="134" spans="1:21" ht="20.100000000000001" customHeight="1">
      <c r="A134" s="13"/>
      <c r="B134" s="13"/>
      <c r="C134" s="13"/>
      <c r="D134" s="13"/>
      <c r="E134" s="13"/>
      <c r="F134" s="13"/>
      <c r="G134" s="13"/>
      <c r="H134" s="13"/>
      <c r="I134" s="16"/>
      <c r="J134" s="16"/>
      <c r="K134" s="16"/>
      <c r="L134" s="16"/>
      <c r="M134" s="16"/>
      <c r="N134" s="16"/>
      <c r="O134" s="16"/>
      <c r="P134" s="16"/>
      <c r="Q134" s="16"/>
      <c r="R134" s="13"/>
      <c r="S134" s="13"/>
      <c r="T134" s="13"/>
      <c r="U134" s="13"/>
    </row>
    <row r="135" spans="1:21" ht="20.100000000000001" customHeight="1">
      <c r="A135" s="13"/>
      <c r="B135" s="13"/>
      <c r="C135" s="13"/>
      <c r="D135" s="13"/>
      <c r="E135" s="13"/>
      <c r="F135" s="13"/>
      <c r="G135" s="13"/>
      <c r="H135" s="13"/>
      <c r="I135" s="16"/>
      <c r="J135" s="16"/>
      <c r="K135" s="16"/>
      <c r="L135" s="16"/>
      <c r="M135" s="16"/>
      <c r="N135" s="16"/>
      <c r="O135" s="16"/>
      <c r="P135" s="16"/>
      <c r="Q135" s="16"/>
      <c r="R135" s="13"/>
      <c r="S135" s="13"/>
      <c r="T135" s="13"/>
      <c r="U135" s="13"/>
    </row>
    <row r="136" spans="1:21" ht="20.100000000000001" customHeight="1">
      <c r="A136" s="13"/>
      <c r="B136" s="13"/>
      <c r="C136" s="13"/>
      <c r="D136" s="13"/>
      <c r="E136" s="13"/>
      <c r="F136" s="13"/>
      <c r="G136" s="13"/>
      <c r="H136" s="13"/>
      <c r="I136" s="16"/>
      <c r="J136" s="16"/>
      <c r="K136" s="16"/>
      <c r="L136" s="16"/>
      <c r="M136" s="16"/>
      <c r="N136" s="16"/>
      <c r="O136" s="16"/>
      <c r="P136" s="16"/>
      <c r="Q136" s="16"/>
      <c r="R136" s="13"/>
      <c r="S136" s="13"/>
      <c r="T136" s="13"/>
      <c r="U136" s="13"/>
    </row>
    <row r="137" spans="1:21" ht="20.100000000000001" customHeight="1">
      <c r="A137" s="13"/>
      <c r="B137" s="13"/>
      <c r="C137" s="13"/>
      <c r="D137" s="13"/>
      <c r="E137" s="13"/>
      <c r="F137" s="13"/>
      <c r="G137" s="13"/>
      <c r="H137" s="13"/>
      <c r="I137" s="16"/>
      <c r="J137" s="16"/>
      <c r="K137" s="16"/>
      <c r="L137" s="16"/>
      <c r="M137" s="16"/>
      <c r="N137" s="16"/>
      <c r="O137" s="16"/>
      <c r="P137" s="16"/>
      <c r="Q137" s="16"/>
      <c r="R137" s="13"/>
      <c r="S137" s="13"/>
      <c r="T137" s="13"/>
      <c r="U137" s="13"/>
    </row>
    <row r="138" spans="1:21" ht="20.100000000000001" customHeight="1">
      <c r="A138" s="13"/>
      <c r="B138" s="13"/>
      <c r="C138" s="13"/>
      <c r="D138" s="13"/>
      <c r="E138" s="13"/>
      <c r="F138" s="13"/>
      <c r="G138" s="13"/>
      <c r="H138" s="13"/>
      <c r="I138" s="16"/>
      <c r="J138" s="16"/>
      <c r="K138" s="16"/>
      <c r="L138" s="16"/>
      <c r="M138" s="16"/>
      <c r="N138" s="16"/>
      <c r="O138" s="16"/>
      <c r="P138" s="16"/>
      <c r="Q138" s="16"/>
      <c r="R138" s="13"/>
      <c r="S138" s="13"/>
      <c r="T138" s="13"/>
      <c r="U138" s="13"/>
    </row>
    <row r="139" spans="1:21" ht="20.100000000000001" customHeight="1">
      <c r="A139" s="13"/>
      <c r="B139" s="13"/>
      <c r="C139" s="13"/>
      <c r="D139" s="13"/>
      <c r="E139" s="13"/>
      <c r="F139" s="13"/>
      <c r="G139" s="13"/>
      <c r="H139" s="13"/>
      <c r="I139" s="16"/>
      <c r="J139" s="16"/>
      <c r="K139" s="16"/>
      <c r="L139" s="16"/>
      <c r="M139" s="16"/>
      <c r="N139" s="16"/>
      <c r="O139" s="16"/>
      <c r="P139" s="16"/>
      <c r="Q139" s="16"/>
      <c r="R139" s="13"/>
      <c r="S139" s="13"/>
      <c r="T139" s="13"/>
      <c r="U139" s="13"/>
    </row>
    <row r="140" spans="1:21" ht="20.100000000000001" customHeight="1">
      <c r="A140" s="13"/>
      <c r="B140" s="13"/>
      <c r="C140" s="13"/>
      <c r="D140" s="13"/>
      <c r="E140" s="13"/>
      <c r="F140" s="13"/>
      <c r="G140" s="13"/>
      <c r="H140" s="13"/>
      <c r="I140" s="16"/>
      <c r="J140" s="16"/>
      <c r="K140" s="16"/>
      <c r="L140" s="16"/>
      <c r="M140" s="16"/>
      <c r="N140" s="16"/>
      <c r="O140" s="16"/>
      <c r="P140" s="16"/>
      <c r="Q140" s="16"/>
      <c r="R140" s="13"/>
      <c r="S140" s="13"/>
      <c r="T140" s="13"/>
      <c r="U140" s="13"/>
    </row>
    <row r="141" spans="1:21" ht="20.100000000000001" customHeight="1">
      <c r="A141" s="13"/>
      <c r="B141" s="13"/>
      <c r="C141" s="13"/>
      <c r="D141" s="13"/>
      <c r="E141" s="13"/>
      <c r="F141" s="13"/>
      <c r="G141" s="13"/>
      <c r="H141" s="13"/>
      <c r="I141" s="16"/>
      <c r="J141" s="16"/>
      <c r="K141" s="16"/>
      <c r="L141" s="16"/>
      <c r="M141" s="16"/>
      <c r="N141" s="16"/>
      <c r="O141" s="16"/>
      <c r="P141" s="16"/>
      <c r="Q141" s="16"/>
      <c r="R141" s="13"/>
      <c r="S141" s="13"/>
      <c r="T141" s="13"/>
      <c r="U141" s="13"/>
    </row>
    <row r="142" spans="1:21" ht="20.100000000000001" customHeight="1">
      <c r="A142" s="13"/>
      <c r="B142" s="13"/>
      <c r="C142" s="13"/>
      <c r="D142" s="13"/>
      <c r="E142" s="13"/>
      <c r="F142" s="13"/>
      <c r="G142" s="13"/>
      <c r="H142" s="13"/>
      <c r="I142" s="16"/>
      <c r="J142" s="16"/>
      <c r="K142" s="16"/>
      <c r="L142" s="16"/>
      <c r="M142" s="16"/>
      <c r="N142" s="16"/>
      <c r="O142" s="16"/>
      <c r="P142" s="16"/>
      <c r="Q142" s="16"/>
      <c r="R142" s="13"/>
      <c r="S142" s="13"/>
      <c r="T142" s="13"/>
      <c r="U142" s="13"/>
    </row>
    <row r="143" spans="1:21" ht="20.100000000000001" customHeight="1">
      <c r="A143" s="13"/>
      <c r="B143" s="13"/>
      <c r="C143" s="13"/>
      <c r="D143" s="13"/>
      <c r="E143" s="13"/>
      <c r="F143" s="13"/>
      <c r="G143" s="13"/>
      <c r="H143" s="13"/>
      <c r="I143" s="16"/>
      <c r="J143" s="16"/>
      <c r="K143" s="16"/>
      <c r="L143" s="16"/>
      <c r="M143" s="16"/>
      <c r="N143" s="16"/>
      <c r="O143" s="16"/>
      <c r="P143" s="16"/>
      <c r="Q143" s="16"/>
      <c r="R143" s="13"/>
      <c r="S143" s="13"/>
      <c r="T143" s="13"/>
      <c r="U143" s="13"/>
    </row>
    <row r="144" spans="1:21" ht="20.100000000000001" customHeight="1">
      <c r="A144" s="13"/>
      <c r="B144" s="13"/>
      <c r="C144" s="13"/>
      <c r="D144" s="13"/>
      <c r="E144" s="13"/>
      <c r="F144" s="13"/>
      <c r="G144" s="13"/>
      <c r="H144" s="13"/>
      <c r="I144" s="16"/>
      <c r="J144" s="16"/>
      <c r="K144" s="16"/>
      <c r="L144" s="16"/>
      <c r="M144" s="16"/>
      <c r="N144" s="16"/>
      <c r="O144" s="16"/>
      <c r="P144" s="16"/>
      <c r="Q144" s="16"/>
      <c r="R144" s="13"/>
      <c r="S144" s="13"/>
      <c r="T144" s="13"/>
      <c r="U144" s="13"/>
    </row>
    <row r="145" spans="1:21" ht="20.100000000000001" customHeight="1">
      <c r="A145" s="13"/>
      <c r="B145" s="13"/>
      <c r="C145" s="13"/>
      <c r="D145" s="13"/>
      <c r="E145" s="13"/>
      <c r="F145" s="13"/>
      <c r="G145" s="13"/>
      <c r="H145" s="13"/>
      <c r="I145" s="16"/>
      <c r="J145" s="16"/>
      <c r="K145" s="16"/>
      <c r="L145" s="16"/>
      <c r="M145" s="16"/>
      <c r="N145" s="16"/>
      <c r="O145" s="16"/>
      <c r="P145" s="16"/>
      <c r="Q145" s="16"/>
      <c r="R145" s="13"/>
      <c r="S145" s="13"/>
      <c r="T145" s="13"/>
      <c r="U145" s="13"/>
    </row>
    <row r="146" spans="1:21" ht="20.100000000000001" customHeight="1">
      <c r="A146" s="13"/>
      <c r="B146" s="13"/>
      <c r="C146" s="13"/>
      <c r="D146" s="13"/>
      <c r="E146" s="13"/>
      <c r="F146" s="13"/>
      <c r="G146" s="13"/>
      <c r="H146" s="13"/>
      <c r="I146" s="16"/>
      <c r="J146" s="16"/>
      <c r="K146" s="16"/>
      <c r="L146" s="16"/>
      <c r="M146" s="16"/>
      <c r="N146" s="16"/>
      <c r="O146" s="16"/>
      <c r="P146" s="16"/>
      <c r="Q146" s="16"/>
      <c r="R146" s="13"/>
      <c r="S146" s="13"/>
      <c r="T146" s="13"/>
      <c r="U146" s="13"/>
    </row>
    <row r="147" spans="1:21" ht="20.100000000000001" customHeight="1">
      <c r="A147" s="13"/>
      <c r="B147" s="13"/>
      <c r="C147" s="13"/>
      <c r="D147" s="13"/>
      <c r="E147" s="13"/>
      <c r="F147" s="13"/>
      <c r="G147" s="13"/>
      <c r="H147" s="13"/>
      <c r="I147" s="16"/>
      <c r="J147" s="16"/>
      <c r="K147" s="16"/>
      <c r="L147" s="16"/>
      <c r="M147" s="16"/>
      <c r="N147" s="16"/>
      <c r="O147" s="16"/>
      <c r="P147" s="16"/>
      <c r="Q147" s="16"/>
      <c r="R147" s="13"/>
      <c r="S147" s="13"/>
      <c r="T147" s="13"/>
      <c r="U147" s="13"/>
    </row>
    <row r="148" spans="1:21" ht="20.100000000000001" customHeight="1">
      <c r="A148" s="13"/>
      <c r="B148" s="13"/>
      <c r="C148" s="13"/>
      <c r="D148" s="13"/>
      <c r="E148" s="13"/>
      <c r="F148" s="13"/>
      <c r="G148" s="13"/>
      <c r="H148" s="13"/>
      <c r="I148" s="16"/>
      <c r="J148" s="16"/>
      <c r="K148" s="16"/>
      <c r="L148" s="16"/>
      <c r="M148" s="16"/>
      <c r="N148" s="16"/>
      <c r="O148" s="16"/>
      <c r="P148" s="16"/>
      <c r="Q148" s="16"/>
      <c r="R148" s="13"/>
      <c r="S148" s="13"/>
      <c r="T148" s="13"/>
      <c r="U148" s="13"/>
    </row>
    <row r="149" spans="1:21" ht="20.100000000000001" customHeight="1">
      <c r="A149" s="13"/>
      <c r="B149" s="13"/>
      <c r="C149" s="13"/>
      <c r="D149" s="13"/>
      <c r="E149" s="13"/>
      <c r="F149" s="13"/>
      <c r="G149" s="13"/>
      <c r="H149" s="13"/>
      <c r="I149" s="16"/>
      <c r="J149" s="16"/>
      <c r="K149" s="16"/>
      <c r="L149" s="16"/>
      <c r="M149" s="16"/>
      <c r="N149" s="16"/>
      <c r="O149" s="16"/>
      <c r="P149" s="16"/>
      <c r="Q149" s="16"/>
      <c r="R149" s="13"/>
      <c r="S149" s="13"/>
      <c r="T149" s="13"/>
      <c r="U149" s="13"/>
    </row>
    <row r="150" spans="1:21" ht="20.100000000000001" customHeight="1">
      <c r="A150" s="13"/>
      <c r="B150" s="13"/>
      <c r="C150" s="13"/>
      <c r="D150" s="13"/>
      <c r="E150" s="13"/>
      <c r="F150" s="13"/>
      <c r="G150" s="13"/>
      <c r="H150" s="13"/>
      <c r="I150" s="16"/>
      <c r="J150" s="16"/>
      <c r="K150" s="16"/>
      <c r="L150" s="16"/>
      <c r="M150" s="16"/>
      <c r="N150" s="16"/>
      <c r="O150" s="16"/>
      <c r="P150" s="16"/>
      <c r="Q150" s="16"/>
      <c r="R150" s="13"/>
      <c r="S150" s="13"/>
      <c r="T150" s="13"/>
      <c r="U150" s="13"/>
    </row>
    <row r="151" spans="1:21" ht="20.100000000000001" customHeight="1">
      <c r="A151" s="13"/>
      <c r="B151" s="13"/>
      <c r="C151" s="13"/>
      <c r="D151" s="13"/>
      <c r="E151" s="13"/>
      <c r="F151" s="13"/>
      <c r="G151" s="13"/>
      <c r="H151" s="13"/>
      <c r="I151" s="16"/>
      <c r="J151" s="16"/>
      <c r="K151" s="16"/>
      <c r="L151" s="16"/>
      <c r="M151" s="16"/>
      <c r="N151" s="16"/>
      <c r="O151" s="16"/>
      <c r="P151" s="16"/>
      <c r="Q151" s="16"/>
      <c r="R151" s="13"/>
      <c r="S151" s="13"/>
      <c r="T151" s="13"/>
      <c r="U151" s="13"/>
    </row>
    <row r="152" spans="1:21" ht="20.100000000000001" customHeight="1">
      <c r="A152" s="13"/>
      <c r="B152" s="13"/>
      <c r="C152" s="13"/>
      <c r="D152" s="13"/>
      <c r="E152" s="13"/>
      <c r="F152" s="13"/>
      <c r="G152" s="13"/>
      <c r="H152" s="13"/>
      <c r="I152" s="16"/>
      <c r="J152" s="16"/>
      <c r="K152" s="16"/>
      <c r="L152" s="16"/>
      <c r="M152" s="16"/>
      <c r="N152" s="16"/>
      <c r="O152" s="16"/>
      <c r="P152" s="16"/>
      <c r="Q152" s="16"/>
      <c r="R152" s="13"/>
      <c r="S152" s="13"/>
      <c r="T152" s="13"/>
      <c r="U152" s="13"/>
    </row>
    <row r="153" spans="1:21" ht="20.100000000000001" customHeight="1">
      <c r="A153" s="13"/>
      <c r="B153" s="13"/>
      <c r="C153" s="13"/>
      <c r="D153" s="13"/>
      <c r="E153" s="13"/>
      <c r="F153" s="13"/>
      <c r="G153" s="13"/>
      <c r="H153" s="13"/>
      <c r="I153" s="16"/>
      <c r="J153" s="16"/>
      <c r="K153" s="16"/>
      <c r="L153" s="16"/>
      <c r="M153" s="16"/>
      <c r="N153" s="16"/>
      <c r="O153" s="16"/>
      <c r="P153" s="16"/>
      <c r="Q153" s="16"/>
      <c r="R153" s="13"/>
      <c r="S153" s="13"/>
      <c r="T153" s="13"/>
      <c r="U153" s="13"/>
    </row>
    <row r="154" spans="1:21" ht="20.100000000000001" customHeight="1">
      <c r="A154" s="13"/>
      <c r="B154" s="13"/>
      <c r="C154" s="13"/>
      <c r="D154" s="13"/>
      <c r="E154" s="13"/>
      <c r="F154" s="13"/>
      <c r="G154" s="13"/>
      <c r="H154" s="13"/>
      <c r="I154" s="16"/>
      <c r="J154" s="16"/>
      <c r="K154" s="16"/>
      <c r="L154" s="16"/>
      <c r="M154" s="16"/>
      <c r="N154" s="16"/>
      <c r="O154" s="16"/>
      <c r="P154" s="16"/>
      <c r="Q154" s="16"/>
      <c r="R154" s="13"/>
      <c r="S154" s="13"/>
      <c r="T154" s="13"/>
      <c r="U154" s="13"/>
    </row>
    <row r="155" spans="1:21" ht="20.100000000000001" customHeight="1">
      <c r="A155" s="13"/>
      <c r="B155" s="13"/>
      <c r="C155" s="13"/>
      <c r="D155" s="13"/>
      <c r="E155" s="13"/>
      <c r="F155" s="13"/>
      <c r="G155" s="13"/>
      <c r="H155" s="13"/>
      <c r="I155" s="16"/>
      <c r="J155" s="16"/>
      <c r="K155" s="16"/>
      <c r="L155" s="16"/>
      <c r="M155" s="16"/>
      <c r="N155" s="16"/>
      <c r="O155" s="16"/>
      <c r="P155" s="16"/>
      <c r="Q155" s="16"/>
      <c r="R155" s="13"/>
      <c r="S155" s="13"/>
      <c r="T155" s="13"/>
      <c r="U155" s="13"/>
    </row>
    <row r="156" spans="1:21" ht="20.100000000000001" customHeight="1">
      <c r="A156" s="13"/>
      <c r="B156" s="13"/>
      <c r="C156" s="13"/>
      <c r="D156" s="13"/>
      <c r="E156" s="13"/>
      <c r="F156" s="13"/>
      <c r="G156" s="13"/>
      <c r="H156" s="13"/>
      <c r="I156" s="16"/>
      <c r="J156" s="16"/>
      <c r="K156" s="16"/>
      <c r="L156" s="16"/>
      <c r="M156" s="16"/>
      <c r="N156" s="16"/>
      <c r="O156" s="16"/>
      <c r="P156" s="16"/>
      <c r="Q156" s="16"/>
      <c r="R156" s="13"/>
      <c r="S156" s="13"/>
      <c r="T156" s="13"/>
      <c r="U156" s="13"/>
    </row>
    <row r="157" spans="1:21" ht="20.100000000000001" customHeight="1">
      <c r="A157" s="13"/>
      <c r="B157" s="13"/>
      <c r="C157" s="13"/>
      <c r="D157" s="13"/>
      <c r="E157" s="13"/>
      <c r="F157" s="13"/>
      <c r="G157" s="13"/>
      <c r="H157" s="13"/>
      <c r="I157" s="16"/>
      <c r="J157" s="16"/>
      <c r="K157" s="16"/>
      <c r="L157" s="16"/>
      <c r="M157" s="16"/>
      <c r="N157" s="16"/>
      <c r="O157" s="16"/>
      <c r="P157" s="16"/>
      <c r="Q157" s="16"/>
      <c r="R157" s="13"/>
      <c r="S157" s="13"/>
      <c r="T157" s="13"/>
      <c r="U157" s="13"/>
    </row>
    <row r="158" spans="1:21" ht="20.100000000000001" customHeight="1">
      <c r="A158" s="13"/>
      <c r="B158" s="13"/>
      <c r="C158" s="13"/>
      <c r="D158" s="13"/>
      <c r="E158" s="13"/>
      <c r="F158" s="13"/>
      <c r="G158" s="13"/>
      <c r="H158" s="13"/>
      <c r="I158" s="16"/>
      <c r="J158" s="16"/>
      <c r="K158" s="16"/>
      <c r="L158" s="16"/>
      <c r="M158" s="16"/>
      <c r="N158" s="16"/>
      <c r="O158" s="16"/>
      <c r="P158" s="16"/>
      <c r="Q158" s="16"/>
      <c r="R158" s="13"/>
      <c r="S158" s="13"/>
      <c r="T158" s="13"/>
      <c r="U158" s="13"/>
    </row>
    <row r="159" spans="1:21" ht="20.100000000000001" customHeight="1">
      <c r="A159" s="13"/>
      <c r="B159" s="13"/>
      <c r="C159" s="13"/>
      <c r="D159" s="13"/>
      <c r="E159" s="13"/>
      <c r="F159" s="13"/>
      <c r="G159" s="13"/>
      <c r="H159" s="13"/>
      <c r="I159" s="16"/>
      <c r="J159" s="16"/>
      <c r="K159" s="16"/>
      <c r="L159" s="16"/>
      <c r="M159" s="16"/>
      <c r="N159" s="16"/>
      <c r="O159" s="16"/>
      <c r="P159" s="16"/>
      <c r="Q159" s="16"/>
      <c r="R159" s="13"/>
      <c r="S159" s="13"/>
      <c r="T159" s="13"/>
      <c r="U159" s="13"/>
    </row>
    <row r="160" spans="1:21" ht="20.100000000000001" customHeight="1">
      <c r="A160" s="13"/>
      <c r="B160" s="13"/>
      <c r="C160" s="13"/>
      <c r="D160" s="13"/>
      <c r="E160" s="13"/>
      <c r="F160" s="13"/>
      <c r="G160" s="13"/>
      <c r="H160" s="13"/>
      <c r="I160" s="16"/>
      <c r="J160" s="16"/>
      <c r="K160" s="16"/>
      <c r="L160" s="16"/>
      <c r="M160" s="16"/>
      <c r="N160" s="16"/>
      <c r="O160" s="16"/>
      <c r="P160" s="16"/>
      <c r="Q160" s="16"/>
      <c r="R160" s="13"/>
      <c r="S160" s="13"/>
      <c r="T160" s="13"/>
      <c r="U160" s="13"/>
    </row>
    <row r="161" spans="1:21" ht="20.100000000000001" customHeight="1">
      <c r="A161" s="13"/>
      <c r="B161" s="13"/>
      <c r="C161" s="13"/>
      <c r="D161" s="13"/>
      <c r="E161" s="13"/>
      <c r="F161" s="13"/>
      <c r="G161" s="13"/>
      <c r="H161" s="13"/>
      <c r="I161" s="16"/>
      <c r="J161" s="16"/>
      <c r="K161" s="16"/>
      <c r="L161" s="16"/>
      <c r="M161" s="16"/>
      <c r="N161" s="16"/>
      <c r="O161" s="16"/>
      <c r="P161" s="16"/>
      <c r="Q161" s="16"/>
      <c r="R161" s="13"/>
      <c r="S161" s="13"/>
      <c r="T161" s="13"/>
      <c r="U161" s="13"/>
    </row>
    <row r="162" spans="1:21" ht="20.100000000000001" customHeight="1">
      <c r="A162" s="13"/>
      <c r="B162" s="13"/>
      <c r="C162" s="13"/>
      <c r="D162" s="13"/>
      <c r="E162" s="13"/>
      <c r="F162" s="13"/>
      <c r="G162" s="13"/>
      <c r="H162" s="13"/>
      <c r="I162" s="16"/>
      <c r="J162" s="16"/>
      <c r="K162" s="16"/>
      <c r="L162" s="16"/>
      <c r="M162" s="16"/>
      <c r="N162" s="16"/>
      <c r="O162" s="16"/>
      <c r="P162" s="16"/>
      <c r="Q162" s="16"/>
      <c r="R162" s="13"/>
      <c r="S162" s="13"/>
      <c r="T162" s="13"/>
      <c r="U162" s="13"/>
    </row>
    <row r="163" spans="1:21" ht="20.100000000000001" customHeight="1">
      <c r="A163" s="13"/>
      <c r="B163" s="13"/>
      <c r="C163" s="13"/>
      <c r="D163" s="13"/>
      <c r="E163" s="13"/>
      <c r="F163" s="13"/>
      <c r="G163" s="13"/>
      <c r="H163" s="13"/>
      <c r="I163" s="16"/>
      <c r="J163" s="16"/>
      <c r="K163" s="16"/>
      <c r="L163" s="16"/>
      <c r="M163" s="16"/>
      <c r="N163" s="16"/>
      <c r="O163" s="16"/>
      <c r="P163" s="16"/>
      <c r="Q163" s="16"/>
      <c r="R163" s="13"/>
      <c r="S163" s="13"/>
      <c r="T163" s="13"/>
      <c r="U163" s="13"/>
    </row>
    <row r="164" spans="1:21" ht="20.100000000000001" customHeight="1">
      <c r="A164" s="13"/>
      <c r="B164" s="13"/>
      <c r="C164" s="13"/>
      <c r="D164" s="13"/>
      <c r="E164" s="13"/>
      <c r="F164" s="13"/>
      <c r="G164" s="13"/>
      <c r="H164" s="13"/>
      <c r="I164" s="16"/>
      <c r="J164" s="16"/>
      <c r="K164" s="16"/>
      <c r="L164" s="16"/>
      <c r="M164" s="16"/>
      <c r="N164" s="16"/>
      <c r="O164" s="16"/>
      <c r="P164" s="16"/>
      <c r="Q164" s="16"/>
      <c r="R164" s="13"/>
      <c r="S164" s="13"/>
      <c r="T164" s="13"/>
      <c r="U164" s="13"/>
    </row>
    <row r="165" spans="1:21" ht="20.100000000000001" customHeight="1">
      <c r="A165" s="13"/>
      <c r="B165" s="13"/>
      <c r="C165" s="13"/>
      <c r="D165" s="13"/>
      <c r="E165" s="13"/>
      <c r="F165" s="13"/>
      <c r="G165" s="13"/>
      <c r="H165" s="13"/>
      <c r="I165" s="16"/>
      <c r="J165" s="16"/>
      <c r="K165" s="16"/>
      <c r="L165" s="16"/>
      <c r="M165" s="16"/>
      <c r="N165" s="16"/>
      <c r="O165" s="16"/>
      <c r="P165" s="16"/>
      <c r="Q165" s="16"/>
      <c r="R165" s="13"/>
      <c r="S165" s="13"/>
      <c r="T165" s="13"/>
      <c r="U165" s="13"/>
    </row>
    <row r="166" spans="1:21" ht="20.100000000000001" customHeight="1">
      <c r="A166" s="13"/>
      <c r="B166" s="13"/>
      <c r="C166" s="13"/>
      <c r="D166" s="13"/>
      <c r="E166" s="13"/>
      <c r="F166" s="13"/>
      <c r="G166" s="13"/>
      <c r="H166" s="13"/>
      <c r="I166" s="16"/>
      <c r="J166" s="16"/>
      <c r="K166" s="16"/>
      <c r="L166" s="16"/>
      <c r="M166" s="16"/>
      <c r="N166" s="16"/>
      <c r="O166" s="16"/>
      <c r="P166" s="16"/>
      <c r="Q166" s="16"/>
      <c r="R166" s="13"/>
      <c r="S166" s="13"/>
      <c r="T166" s="13"/>
      <c r="U166" s="13"/>
    </row>
    <row r="167" spans="1:21" ht="20.100000000000001" customHeight="1">
      <c r="A167" s="13"/>
      <c r="B167" s="13"/>
      <c r="C167" s="13"/>
      <c r="D167" s="13"/>
      <c r="E167" s="13"/>
      <c r="F167" s="13"/>
      <c r="G167" s="13"/>
      <c r="H167" s="13"/>
      <c r="I167" s="16"/>
      <c r="J167" s="16"/>
      <c r="K167" s="16"/>
      <c r="L167" s="16"/>
      <c r="M167" s="16"/>
      <c r="N167" s="16"/>
      <c r="O167" s="16"/>
      <c r="P167" s="16"/>
      <c r="Q167" s="16"/>
      <c r="R167" s="13"/>
      <c r="S167" s="13"/>
      <c r="T167" s="13"/>
      <c r="U167" s="13"/>
    </row>
    <row r="168" spans="1:21" ht="20.100000000000001" customHeight="1">
      <c r="A168" s="13"/>
      <c r="B168" s="13"/>
      <c r="C168" s="13"/>
      <c r="D168" s="13"/>
      <c r="E168" s="13"/>
      <c r="F168" s="13"/>
      <c r="G168" s="13"/>
      <c r="H168" s="13"/>
      <c r="I168" s="16"/>
      <c r="J168" s="16"/>
      <c r="K168" s="16"/>
      <c r="L168" s="16"/>
      <c r="M168" s="16"/>
      <c r="N168" s="16"/>
      <c r="O168" s="16"/>
      <c r="P168" s="16"/>
      <c r="Q168" s="16"/>
      <c r="R168" s="13"/>
      <c r="S168" s="13"/>
      <c r="T168" s="13"/>
      <c r="U168" s="13"/>
    </row>
    <row r="169" spans="1:21" ht="20.100000000000001" customHeight="1">
      <c r="A169" s="13"/>
      <c r="B169" s="13"/>
      <c r="C169" s="13"/>
      <c r="D169" s="13"/>
      <c r="E169" s="13"/>
      <c r="F169" s="13"/>
      <c r="G169" s="13"/>
      <c r="H169" s="13"/>
      <c r="I169" s="16"/>
      <c r="J169" s="16"/>
      <c r="K169" s="16"/>
      <c r="L169" s="16"/>
      <c r="M169" s="16"/>
      <c r="N169" s="16"/>
      <c r="O169" s="16"/>
      <c r="P169" s="16"/>
      <c r="Q169" s="16"/>
      <c r="R169" s="13"/>
      <c r="S169" s="13"/>
      <c r="T169" s="13"/>
      <c r="U169" s="13"/>
    </row>
    <row r="170" spans="1:21" ht="20.100000000000001" customHeight="1">
      <c r="A170" s="13"/>
      <c r="B170" s="13"/>
      <c r="C170" s="13"/>
      <c r="D170" s="13"/>
      <c r="E170" s="13"/>
      <c r="F170" s="13"/>
      <c r="G170" s="13"/>
      <c r="H170" s="13"/>
      <c r="I170" s="16"/>
      <c r="J170" s="16"/>
      <c r="K170" s="16"/>
      <c r="L170" s="16"/>
      <c r="M170" s="16"/>
      <c r="N170" s="16"/>
      <c r="O170" s="16"/>
      <c r="P170" s="16"/>
      <c r="Q170" s="16"/>
      <c r="R170" s="13"/>
      <c r="S170" s="13"/>
      <c r="T170" s="13"/>
      <c r="U170" s="13"/>
    </row>
    <row r="171" spans="1:21" ht="20.100000000000001" customHeight="1">
      <c r="A171" s="13"/>
      <c r="B171" s="13"/>
      <c r="C171" s="13"/>
      <c r="D171" s="13"/>
      <c r="E171" s="13"/>
      <c r="F171" s="13"/>
      <c r="G171" s="13"/>
      <c r="H171" s="13"/>
      <c r="I171" s="16"/>
      <c r="J171" s="16"/>
      <c r="K171" s="16"/>
      <c r="L171" s="16"/>
      <c r="M171" s="16"/>
      <c r="N171" s="16"/>
      <c r="O171" s="16"/>
      <c r="P171" s="16"/>
      <c r="Q171" s="16"/>
      <c r="R171" s="13"/>
      <c r="S171" s="13"/>
      <c r="T171" s="13"/>
      <c r="U171" s="13"/>
    </row>
    <row r="172" spans="1:21" ht="20.100000000000001" customHeight="1">
      <c r="A172" s="13"/>
      <c r="B172" s="13"/>
      <c r="C172" s="13"/>
      <c r="D172" s="13"/>
      <c r="E172" s="13"/>
      <c r="F172" s="13"/>
      <c r="G172" s="13"/>
      <c r="H172" s="13"/>
      <c r="I172" s="16"/>
      <c r="J172" s="16"/>
      <c r="K172" s="16"/>
      <c r="L172" s="16"/>
      <c r="M172" s="16"/>
      <c r="N172" s="16"/>
      <c r="O172" s="16"/>
      <c r="P172" s="16"/>
      <c r="Q172" s="16"/>
      <c r="R172" s="13"/>
      <c r="S172" s="13"/>
      <c r="T172" s="13"/>
      <c r="U172" s="13"/>
    </row>
    <row r="173" spans="1:21" ht="20.100000000000001" customHeight="1">
      <c r="A173" s="13"/>
      <c r="B173" s="13"/>
      <c r="C173" s="13"/>
      <c r="D173" s="13"/>
      <c r="E173" s="13"/>
      <c r="F173" s="13"/>
      <c r="G173" s="13"/>
      <c r="H173" s="13"/>
      <c r="I173" s="16"/>
      <c r="J173" s="16"/>
      <c r="K173" s="16"/>
      <c r="L173" s="16"/>
      <c r="M173" s="16"/>
      <c r="N173" s="16"/>
      <c r="O173" s="16"/>
      <c r="P173" s="16"/>
      <c r="Q173" s="16"/>
      <c r="R173" s="13"/>
      <c r="S173" s="13"/>
      <c r="T173" s="13"/>
      <c r="U173" s="13"/>
    </row>
    <row r="174" spans="1:21" ht="20.100000000000001" customHeight="1">
      <c r="A174" s="13"/>
      <c r="B174" s="13"/>
      <c r="C174" s="13"/>
      <c r="D174" s="13"/>
      <c r="E174" s="13"/>
      <c r="F174" s="13"/>
      <c r="G174" s="13"/>
      <c r="H174" s="13"/>
      <c r="I174" s="16"/>
      <c r="J174" s="16"/>
      <c r="K174" s="16"/>
      <c r="L174" s="16"/>
      <c r="M174" s="16"/>
      <c r="N174" s="16"/>
      <c r="O174" s="16"/>
      <c r="P174" s="16"/>
      <c r="Q174" s="16"/>
      <c r="R174" s="13"/>
      <c r="S174" s="13"/>
      <c r="T174" s="13"/>
      <c r="U174" s="13"/>
    </row>
    <row r="175" spans="1:21" ht="20.100000000000001" customHeight="1">
      <c r="A175" s="13"/>
      <c r="B175" s="13"/>
      <c r="C175" s="13"/>
      <c r="D175" s="13"/>
      <c r="E175" s="13"/>
      <c r="F175" s="13"/>
      <c r="G175" s="13"/>
      <c r="H175" s="13"/>
      <c r="I175" s="16"/>
      <c r="J175" s="16"/>
      <c r="K175" s="16"/>
      <c r="L175" s="16"/>
      <c r="M175" s="16"/>
      <c r="N175" s="16"/>
      <c r="O175" s="16"/>
      <c r="P175" s="16"/>
      <c r="Q175" s="16"/>
      <c r="R175" s="13"/>
      <c r="S175" s="13"/>
      <c r="T175" s="13"/>
      <c r="U175" s="13"/>
    </row>
    <row r="176" spans="1:21" ht="20.100000000000001" customHeight="1">
      <c r="A176" s="13"/>
      <c r="B176" s="13"/>
      <c r="C176" s="13"/>
      <c r="D176" s="13"/>
      <c r="E176" s="13"/>
      <c r="F176" s="13"/>
      <c r="G176" s="13"/>
      <c r="H176" s="13"/>
      <c r="I176" s="16"/>
      <c r="J176" s="16"/>
      <c r="K176" s="16"/>
      <c r="L176" s="16"/>
      <c r="M176" s="16"/>
      <c r="N176" s="16"/>
      <c r="O176" s="16"/>
      <c r="P176" s="16"/>
      <c r="Q176" s="16"/>
      <c r="R176" s="13"/>
      <c r="S176" s="13"/>
      <c r="T176" s="13"/>
      <c r="U176" s="13"/>
    </row>
    <row r="177" spans="1:21" ht="20.100000000000001" customHeight="1">
      <c r="A177" s="13"/>
      <c r="B177" s="13"/>
      <c r="C177" s="13"/>
      <c r="D177" s="13"/>
      <c r="E177" s="13"/>
      <c r="F177" s="13"/>
      <c r="G177" s="13"/>
      <c r="H177" s="13"/>
      <c r="I177" s="16"/>
      <c r="J177" s="16"/>
      <c r="K177" s="16"/>
      <c r="L177" s="16"/>
      <c r="M177" s="16"/>
      <c r="N177" s="16"/>
      <c r="O177" s="16"/>
      <c r="P177" s="16"/>
      <c r="Q177" s="16"/>
      <c r="R177" s="13"/>
      <c r="S177" s="13"/>
      <c r="T177" s="13"/>
      <c r="U177" s="13"/>
    </row>
    <row r="178" spans="1:21" ht="20.100000000000001" customHeight="1">
      <c r="A178" s="13"/>
      <c r="B178" s="13"/>
      <c r="C178" s="13"/>
      <c r="D178" s="13"/>
      <c r="E178" s="13"/>
      <c r="F178" s="13"/>
      <c r="G178" s="13"/>
      <c r="H178" s="13"/>
      <c r="I178" s="16"/>
      <c r="J178" s="16"/>
      <c r="K178" s="16"/>
      <c r="L178" s="16"/>
      <c r="M178" s="16"/>
      <c r="N178" s="16"/>
      <c r="O178" s="16"/>
      <c r="P178" s="16"/>
      <c r="Q178" s="16"/>
      <c r="R178" s="13"/>
      <c r="S178" s="13"/>
      <c r="T178" s="13"/>
      <c r="U178" s="13"/>
    </row>
    <row r="179" spans="1:21" ht="20.100000000000001" customHeight="1">
      <c r="A179" s="13"/>
      <c r="B179" s="13"/>
      <c r="C179" s="13"/>
      <c r="D179" s="13"/>
      <c r="E179" s="13"/>
      <c r="F179" s="13"/>
      <c r="G179" s="13"/>
      <c r="H179" s="13"/>
      <c r="I179" s="16"/>
      <c r="J179" s="16"/>
      <c r="K179" s="16"/>
      <c r="L179" s="16"/>
      <c r="M179" s="16"/>
      <c r="N179" s="16"/>
      <c r="O179" s="16"/>
      <c r="P179" s="16"/>
      <c r="Q179" s="16"/>
      <c r="R179" s="13"/>
      <c r="S179" s="13"/>
      <c r="T179" s="13"/>
      <c r="U179" s="13"/>
    </row>
    <row r="180" spans="1:21" ht="20.100000000000001" customHeight="1">
      <c r="A180" s="13"/>
      <c r="B180" s="13"/>
      <c r="C180" s="13"/>
      <c r="D180" s="13"/>
      <c r="E180" s="13"/>
      <c r="F180" s="13"/>
      <c r="G180" s="13"/>
      <c r="H180" s="13"/>
      <c r="I180" s="16"/>
      <c r="J180" s="16"/>
      <c r="K180" s="16"/>
      <c r="L180" s="16"/>
      <c r="M180" s="16"/>
      <c r="N180" s="16"/>
      <c r="O180" s="16"/>
      <c r="P180" s="16"/>
      <c r="Q180" s="16"/>
      <c r="R180" s="13"/>
      <c r="S180" s="13"/>
      <c r="T180" s="13"/>
      <c r="U180" s="13"/>
    </row>
    <row r="181" spans="1:21" ht="20.100000000000001" customHeight="1">
      <c r="A181" s="13"/>
      <c r="B181" s="13"/>
      <c r="C181" s="13"/>
      <c r="D181" s="13"/>
      <c r="E181" s="13"/>
      <c r="F181" s="13"/>
      <c r="G181" s="13"/>
      <c r="H181" s="13"/>
      <c r="I181" s="16"/>
      <c r="J181" s="16"/>
      <c r="K181" s="16"/>
      <c r="L181" s="16"/>
      <c r="M181" s="16"/>
      <c r="N181" s="16"/>
      <c r="O181" s="16"/>
      <c r="P181" s="16"/>
      <c r="Q181" s="16"/>
      <c r="R181" s="13"/>
      <c r="S181" s="13"/>
      <c r="T181" s="13"/>
      <c r="U181" s="13"/>
    </row>
    <row r="182" spans="1:21" ht="20.100000000000001" customHeight="1">
      <c r="A182" s="13"/>
      <c r="B182" s="13"/>
      <c r="C182" s="13"/>
      <c r="D182" s="13"/>
      <c r="E182" s="13"/>
      <c r="F182" s="13"/>
      <c r="G182" s="13"/>
      <c r="H182" s="13"/>
      <c r="I182" s="16"/>
      <c r="J182" s="16"/>
      <c r="K182" s="16"/>
      <c r="L182" s="16"/>
      <c r="M182" s="16"/>
      <c r="N182" s="16"/>
      <c r="O182" s="16"/>
      <c r="P182" s="16"/>
      <c r="Q182" s="16"/>
      <c r="R182" s="13"/>
      <c r="S182" s="13"/>
      <c r="T182" s="13"/>
      <c r="U182" s="13"/>
    </row>
    <row r="183" spans="1:21" ht="20.100000000000001" customHeight="1">
      <c r="A183" s="13"/>
      <c r="B183" s="13"/>
      <c r="C183" s="13"/>
      <c r="D183" s="13"/>
      <c r="E183" s="13"/>
      <c r="F183" s="13"/>
      <c r="G183" s="13"/>
      <c r="H183" s="13"/>
      <c r="I183" s="16"/>
      <c r="J183" s="16"/>
      <c r="K183" s="16"/>
      <c r="L183" s="16"/>
      <c r="M183" s="16"/>
      <c r="N183" s="16"/>
      <c r="O183" s="16"/>
      <c r="P183" s="16"/>
      <c r="Q183" s="16"/>
      <c r="R183" s="13"/>
      <c r="S183" s="13"/>
      <c r="T183" s="13"/>
      <c r="U183" s="13"/>
    </row>
    <row r="184" spans="1:21" ht="20.100000000000001" customHeight="1">
      <c r="A184" s="13"/>
      <c r="B184" s="13"/>
      <c r="C184" s="13"/>
      <c r="D184" s="13"/>
      <c r="E184" s="13"/>
      <c r="F184" s="13"/>
      <c r="G184" s="13"/>
      <c r="H184" s="13"/>
      <c r="I184" s="16"/>
      <c r="J184" s="16"/>
      <c r="K184" s="16"/>
      <c r="L184" s="16"/>
      <c r="M184" s="16"/>
      <c r="N184" s="16"/>
      <c r="O184" s="16"/>
      <c r="P184" s="16"/>
      <c r="Q184" s="16"/>
      <c r="R184" s="13"/>
      <c r="S184" s="13"/>
      <c r="T184" s="13"/>
      <c r="U184" s="13"/>
    </row>
    <row r="185" spans="1:21" ht="20.100000000000001" customHeight="1">
      <c r="A185" s="13"/>
      <c r="B185" s="13"/>
      <c r="C185" s="13"/>
      <c r="D185" s="13"/>
      <c r="E185" s="13"/>
      <c r="F185" s="13"/>
      <c r="G185" s="13"/>
      <c r="H185" s="13"/>
      <c r="I185" s="16"/>
      <c r="J185" s="16"/>
      <c r="K185" s="16"/>
      <c r="L185" s="16"/>
      <c r="M185" s="16"/>
      <c r="N185" s="16"/>
      <c r="O185" s="16"/>
      <c r="P185" s="16"/>
      <c r="Q185" s="16"/>
      <c r="R185" s="13"/>
      <c r="S185" s="13"/>
      <c r="T185" s="13"/>
      <c r="U185" s="13"/>
    </row>
    <row r="186" spans="1:21" ht="20.100000000000001" customHeight="1">
      <c r="A186" s="13"/>
      <c r="B186" s="13"/>
      <c r="C186" s="13"/>
      <c r="D186" s="13"/>
      <c r="E186" s="13"/>
      <c r="F186" s="13"/>
      <c r="G186" s="13"/>
      <c r="H186" s="13"/>
      <c r="I186" s="16"/>
      <c r="J186" s="16"/>
      <c r="K186" s="16"/>
      <c r="L186" s="16"/>
      <c r="M186" s="16"/>
      <c r="N186" s="16"/>
      <c r="O186" s="16"/>
      <c r="P186" s="16"/>
      <c r="Q186" s="16"/>
      <c r="R186" s="13"/>
      <c r="S186" s="13"/>
      <c r="T186" s="13"/>
      <c r="U186" s="13"/>
    </row>
    <row r="187" spans="1:21" ht="20.100000000000001" customHeight="1">
      <c r="A187" s="13"/>
      <c r="B187" s="13"/>
      <c r="C187" s="13"/>
      <c r="D187" s="13"/>
      <c r="E187" s="13"/>
      <c r="F187" s="13"/>
      <c r="G187" s="13"/>
      <c r="H187" s="13"/>
      <c r="I187" s="16"/>
      <c r="J187" s="16"/>
      <c r="K187" s="16"/>
      <c r="L187" s="16"/>
      <c r="M187" s="16"/>
      <c r="N187" s="16"/>
      <c r="O187" s="16"/>
      <c r="P187" s="16"/>
      <c r="Q187" s="16"/>
      <c r="R187" s="13"/>
      <c r="S187" s="13"/>
      <c r="T187" s="13"/>
      <c r="U187" s="13"/>
    </row>
    <row r="188" spans="1:21" ht="20.100000000000001" customHeight="1">
      <c r="A188" s="13"/>
      <c r="B188" s="13"/>
      <c r="C188" s="13"/>
      <c r="D188" s="13"/>
      <c r="E188" s="13"/>
      <c r="F188" s="13"/>
      <c r="G188" s="13"/>
      <c r="H188" s="13"/>
      <c r="I188" s="16"/>
      <c r="J188" s="16"/>
      <c r="K188" s="16"/>
      <c r="L188" s="16"/>
      <c r="M188" s="16"/>
      <c r="N188" s="16"/>
      <c r="O188" s="16"/>
      <c r="P188" s="16"/>
      <c r="Q188" s="16"/>
      <c r="R188" s="13"/>
      <c r="S188" s="13"/>
      <c r="T188" s="13"/>
      <c r="U188" s="13"/>
    </row>
    <row r="189" spans="1:21" ht="20.100000000000001" customHeight="1">
      <c r="A189" s="13"/>
      <c r="B189" s="13"/>
      <c r="C189" s="13"/>
      <c r="D189" s="13"/>
      <c r="E189" s="13"/>
      <c r="F189" s="13"/>
      <c r="G189" s="13"/>
      <c r="H189" s="13"/>
      <c r="I189" s="16"/>
      <c r="J189" s="16"/>
      <c r="K189" s="16"/>
      <c r="L189" s="16"/>
      <c r="M189" s="16"/>
      <c r="N189" s="16"/>
      <c r="O189" s="16"/>
      <c r="P189" s="16"/>
      <c r="Q189" s="16"/>
      <c r="R189" s="13"/>
      <c r="S189" s="13"/>
      <c r="T189" s="13"/>
      <c r="U189" s="13"/>
    </row>
    <row r="190" spans="1:21" ht="20.100000000000001" customHeight="1">
      <c r="A190" s="13"/>
      <c r="B190" s="13"/>
      <c r="C190" s="13"/>
      <c r="D190" s="13"/>
      <c r="E190" s="13"/>
      <c r="F190" s="13"/>
      <c r="G190" s="13"/>
      <c r="H190" s="13"/>
      <c r="I190" s="16"/>
      <c r="J190" s="16"/>
      <c r="K190" s="16"/>
      <c r="L190" s="16"/>
      <c r="M190" s="16"/>
      <c r="N190" s="16"/>
      <c r="O190" s="16"/>
      <c r="P190" s="16"/>
      <c r="Q190" s="16"/>
      <c r="R190" s="13"/>
      <c r="S190" s="13"/>
      <c r="T190" s="13"/>
      <c r="U190" s="13"/>
    </row>
    <row r="191" spans="1:21" ht="20.100000000000001" customHeight="1">
      <c r="A191" s="13"/>
      <c r="B191" s="13"/>
      <c r="C191" s="13"/>
      <c r="D191" s="13"/>
      <c r="E191" s="13"/>
      <c r="F191" s="13"/>
      <c r="G191" s="13"/>
      <c r="H191" s="13"/>
      <c r="I191" s="16"/>
      <c r="J191" s="16"/>
      <c r="K191" s="16"/>
      <c r="L191" s="16"/>
      <c r="M191" s="16"/>
      <c r="N191" s="16"/>
      <c r="O191" s="16"/>
      <c r="P191" s="16"/>
      <c r="Q191" s="16"/>
      <c r="R191" s="13"/>
      <c r="S191" s="13"/>
      <c r="T191" s="13"/>
      <c r="U191" s="13"/>
    </row>
    <row r="192" spans="1:21" ht="20.100000000000001" customHeight="1">
      <c r="A192" s="13"/>
      <c r="B192" s="13"/>
      <c r="C192" s="13"/>
      <c r="D192" s="13"/>
      <c r="E192" s="13"/>
      <c r="F192" s="13"/>
      <c r="G192" s="13"/>
      <c r="H192" s="13"/>
      <c r="I192" s="16"/>
      <c r="J192" s="16"/>
      <c r="K192" s="16"/>
      <c r="L192" s="16"/>
      <c r="M192" s="16"/>
      <c r="N192" s="16"/>
      <c r="O192" s="16"/>
      <c r="P192" s="16"/>
      <c r="Q192" s="16"/>
      <c r="R192" s="13"/>
      <c r="S192" s="13"/>
      <c r="T192" s="13"/>
      <c r="U192" s="13"/>
    </row>
    <row r="193" spans="1:21" ht="20.100000000000001" customHeight="1">
      <c r="A193" s="13"/>
      <c r="B193" s="13"/>
      <c r="C193" s="13"/>
      <c r="D193" s="13"/>
      <c r="E193" s="13"/>
      <c r="F193" s="13"/>
      <c r="G193" s="13"/>
      <c r="H193" s="13"/>
      <c r="I193" s="16"/>
      <c r="J193" s="16"/>
      <c r="K193" s="16"/>
      <c r="L193" s="16"/>
      <c r="M193" s="16"/>
      <c r="N193" s="16"/>
      <c r="O193" s="16"/>
      <c r="P193" s="16"/>
      <c r="Q193" s="16"/>
      <c r="R193" s="13"/>
      <c r="S193" s="13"/>
      <c r="T193" s="13"/>
      <c r="U193" s="13"/>
    </row>
    <row r="194" spans="1:21" ht="20.100000000000001" customHeight="1">
      <c r="A194" s="13"/>
      <c r="B194" s="13"/>
      <c r="C194" s="13"/>
      <c r="D194" s="13"/>
      <c r="E194" s="13"/>
      <c r="F194" s="13"/>
      <c r="G194" s="13"/>
      <c r="H194" s="13"/>
      <c r="I194" s="16"/>
      <c r="J194" s="16"/>
      <c r="K194" s="16"/>
      <c r="L194" s="16"/>
      <c r="M194" s="16"/>
      <c r="N194" s="16"/>
      <c r="O194" s="16"/>
      <c r="P194" s="16"/>
      <c r="Q194" s="16"/>
      <c r="R194" s="13"/>
      <c r="S194" s="13"/>
      <c r="T194" s="13"/>
      <c r="U194" s="13"/>
    </row>
    <row r="195" spans="1:21" ht="20.100000000000001" customHeight="1">
      <c r="A195" s="13"/>
      <c r="B195" s="13"/>
      <c r="C195" s="13"/>
      <c r="D195" s="13"/>
      <c r="E195" s="13"/>
      <c r="F195" s="13"/>
      <c r="G195" s="13"/>
      <c r="H195" s="13"/>
      <c r="I195" s="16"/>
      <c r="J195" s="16"/>
      <c r="K195" s="16"/>
      <c r="L195" s="16"/>
      <c r="M195" s="16"/>
      <c r="N195" s="16"/>
      <c r="O195" s="16"/>
      <c r="P195" s="16"/>
      <c r="Q195" s="16"/>
      <c r="R195" s="13"/>
      <c r="S195" s="13"/>
      <c r="T195" s="13"/>
      <c r="U195" s="13"/>
    </row>
    <row r="196" spans="1:21" ht="20.100000000000001" customHeight="1">
      <c r="A196" s="13"/>
      <c r="B196" s="13"/>
      <c r="C196" s="13"/>
      <c r="D196" s="13"/>
      <c r="E196" s="13"/>
      <c r="F196" s="13"/>
      <c r="G196" s="13"/>
      <c r="H196" s="13"/>
      <c r="I196" s="16"/>
      <c r="J196" s="16"/>
      <c r="K196" s="16"/>
      <c r="L196" s="16"/>
      <c r="M196" s="16"/>
      <c r="N196" s="16"/>
      <c r="O196" s="16"/>
      <c r="P196" s="16"/>
      <c r="Q196" s="16"/>
      <c r="R196" s="13"/>
      <c r="S196" s="13"/>
      <c r="T196" s="13"/>
      <c r="U196" s="13"/>
    </row>
    <row r="197" spans="1:21" ht="20.100000000000001" customHeight="1">
      <c r="A197" s="13"/>
      <c r="B197" s="13"/>
      <c r="C197" s="13"/>
      <c r="D197" s="13"/>
      <c r="E197" s="13"/>
      <c r="F197" s="13"/>
      <c r="G197" s="13"/>
      <c r="H197" s="13"/>
      <c r="I197" s="16"/>
      <c r="J197" s="16"/>
      <c r="K197" s="16"/>
      <c r="L197" s="16"/>
      <c r="M197" s="16"/>
      <c r="N197" s="16"/>
      <c r="O197" s="16"/>
      <c r="P197" s="16"/>
      <c r="Q197" s="16"/>
      <c r="R197" s="13"/>
      <c r="S197" s="13"/>
      <c r="T197" s="13"/>
      <c r="U197" s="13"/>
    </row>
    <row r="198" spans="1:21" ht="20.100000000000001" customHeight="1">
      <c r="A198" s="13"/>
      <c r="B198" s="13"/>
      <c r="C198" s="13"/>
      <c r="D198" s="13"/>
      <c r="E198" s="13"/>
      <c r="F198" s="13"/>
      <c r="G198" s="13"/>
      <c r="H198" s="13"/>
      <c r="I198" s="16"/>
      <c r="J198" s="16"/>
      <c r="K198" s="16"/>
      <c r="L198" s="16"/>
      <c r="M198" s="16"/>
      <c r="N198" s="16"/>
      <c r="O198" s="16"/>
      <c r="P198" s="16"/>
      <c r="Q198" s="16"/>
      <c r="R198" s="13"/>
      <c r="S198" s="13"/>
      <c r="T198" s="13"/>
      <c r="U198" s="13"/>
    </row>
    <row r="199" spans="1:21" ht="20.100000000000001" customHeight="1">
      <c r="A199" s="13"/>
      <c r="B199" s="13"/>
      <c r="C199" s="13"/>
      <c r="D199" s="13"/>
      <c r="E199" s="13"/>
      <c r="F199" s="13"/>
      <c r="G199" s="13"/>
      <c r="H199" s="13"/>
      <c r="I199" s="16"/>
      <c r="J199" s="16"/>
      <c r="K199" s="16"/>
      <c r="L199" s="16"/>
      <c r="M199" s="16"/>
      <c r="N199" s="16"/>
      <c r="O199" s="16"/>
      <c r="P199" s="16"/>
      <c r="Q199" s="16"/>
      <c r="R199" s="13"/>
      <c r="S199" s="13"/>
      <c r="T199" s="13"/>
      <c r="U199" s="13"/>
    </row>
    <row r="200" spans="1:21" ht="20.100000000000001" customHeight="1">
      <c r="A200" s="13"/>
      <c r="B200" s="13"/>
      <c r="C200" s="13"/>
      <c r="D200" s="13"/>
      <c r="E200" s="13"/>
      <c r="F200" s="13"/>
      <c r="G200" s="13"/>
      <c r="H200" s="13"/>
      <c r="I200" s="16"/>
      <c r="J200" s="16"/>
      <c r="K200" s="16"/>
      <c r="L200" s="16"/>
      <c r="M200" s="16"/>
      <c r="N200" s="16"/>
      <c r="O200" s="16"/>
      <c r="P200" s="16"/>
      <c r="Q200" s="16"/>
      <c r="R200" s="13"/>
      <c r="S200" s="13"/>
      <c r="T200" s="13"/>
      <c r="U200" s="13"/>
    </row>
    <row r="201" spans="1:21" ht="20.100000000000001" customHeight="1">
      <c r="A201" s="13"/>
      <c r="B201" s="13"/>
      <c r="C201" s="13"/>
      <c r="D201" s="13"/>
      <c r="E201" s="13"/>
      <c r="F201" s="13"/>
      <c r="G201" s="13"/>
      <c r="H201" s="13"/>
      <c r="I201" s="16"/>
      <c r="J201" s="16"/>
      <c r="K201" s="16"/>
      <c r="L201" s="16"/>
      <c r="M201" s="16"/>
      <c r="N201" s="16"/>
      <c r="O201" s="16"/>
      <c r="P201" s="16"/>
      <c r="Q201" s="16"/>
      <c r="R201" s="13"/>
      <c r="S201" s="13"/>
      <c r="T201" s="13"/>
      <c r="U201" s="13"/>
    </row>
    <row r="202" spans="1:21" ht="20.100000000000001" customHeight="1">
      <c r="A202" s="13"/>
      <c r="B202" s="13"/>
      <c r="C202" s="13"/>
      <c r="D202" s="13"/>
      <c r="E202" s="13"/>
      <c r="F202" s="13"/>
      <c r="G202" s="13"/>
      <c r="H202" s="13"/>
      <c r="I202" s="16"/>
      <c r="J202" s="16"/>
      <c r="K202" s="16"/>
      <c r="L202" s="16"/>
      <c r="M202" s="16"/>
      <c r="N202" s="16"/>
      <c r="O202" s="16"/>
      <c r="P202" s="16"/>
      <c r="Q202" s="16"/>
      <c r="R202" s="13"/>
      <c r="S202" s="13"/>
      <c r="T202" s="13"/>
      <c r="U202" s="13"/>
    </row>
    <row r="203" spans="1:21" ht="20.100000000000001" customHeight="1">
      <c r="A203" s="13"/>
      <c r="B203" s="13"/>
      <c r="C203" s="13"/>
      <c r="D203" s="13"/>
      <c r="E203" s="13"/>
      <c r="F203" s="13"/>
      <c r="G203" s="13"/>
      <c r="H203" s="13"/>
      <c r="I203" s="16"/>
      <c r="J203" s="16"/>
      <c r="K203" s="16"/>
      <c r="L203" s="16"/>
      <c r="M203" s="16"/>
      <c r="N203" s="16"/>
      <c r="O203" s="16"/>
      <c r="P203" s="16"/>
      <c r="Q203" s="16"/>
      <c r="R203" s="13"/>
      <c r="S203" s="13"/>
      <c r="T203" s="13"/>
      <c r="U203" s="13"/>
    </row>
    <row r="204" spans="1:21" ht="20.100000000000001" customHeight="1">
      <c r="A204" s="13"/>
      <c r="B204" s="13"/>
      <c r="C204" s="13"/>
      <c r="D204" s="13"/>
      <c r="E204" s="13"/>
      <c r="F204" s="13"/>
      <c r="G204" s="13"/>
      <c r="H204" s="13"/>
      <c r="I204" s="16"/>
      <c r="J204" s="16"/>
      <c r="K204" s="16"/>
      <c r="L204" s="16"/>
      <c r="M204" s="16"/>
      <c r="N204" s="16"/>
      <c r="O204" s="16"/>
      <c r="P204" s="16"/>
      <c r="Q204" s="16"/>
      <c r="R204" s="13"/>
      <c r="S204" s="13"/>
      <c r="T204" s="13"/>
      <c r="U204" s="13"/>
    </row>
    <row r="205" spans="1:21" ht="20.100000000000001" customHeight="1">
      <c r="A205" s="14"/>
      <c r="B205" s="14"/>
      <c r="C205" s="14"/>
      <c r="D205" s="14"/>
      <c r="E205" s="14"/>
      <c r="F205" s="14"/>
      <c r="G205" s="14"/>
      <c r="H205" s="14"/>
      <c r="I205" s="17"/>
      <c r="J205" s="17"/>
      <c r="K205" s="17"/>
      <c r="L205" s="17"/>
      <c r="M205" s="17"/>
      <c r="N205" s="17"/>
      <c r="O205" s="17"/>
      <c r="P205" s="17"/>
      <c r="Q205" s="17"/>
      <c r="R205" s="14"/>
      <c r="S205" s="14"/>
      <c r="T205" s="14"/>
      <c r="U205" s="1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0000000}">
          <x14:formula1>
            <xm:f>Listák!$F$2:$F$8</xm:f>
          </x14:formula1>
          <xm:sqref>D6:D205</xm:sqref>
        </x14:dataValidation>
        <x14:dataValidation type="list" xr:uid="{00000000-0002-0000-0700-000001000000}">
          <x14:formula1>
            <xm:f>Listák!$H$2:$H$5</xm:f>
          </x14:formula1>
          <xm:sqref>R6:R205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75B5"/>
  </sheetPr>
  <dimension ref="A2:U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4.25"/>
  <cols>
    <col min="1" max="2" width="18" customWidth="1"/>
    <col min="3" max="3" width="24" customWidth="1"/>
    <col min="4" max="4" width="20" customWidth="1"/>
    <col min="5" max="5" width="55" customWidth="1"/>
    <col min="6" max="6" width="12" customWidth="1"/>
    <col min="7" max="7" width="24" customWidth="1"/>
    <col min="8" max="8" width="38" customWidth="1"/>
    <col min="9" max="9" width="16" customWidth="1"/>
    <col min="10" max="10" width="34" customWidth="1"/>
  </cols>
  <sheetData>
    <row r="2" spans="1:21" ht="19.5">
      <c r="A2" s="2" t="s">
        <v>115</v>
      </c>
      <c r="B2" s="1"/>
      <c r="C2" s="1"/>
      <c r="D2" s="1"/>
      <c r="E2" s="1"/>
      <c r="F2" s="1"/>
      <c r="G2" s="1"/>
      <c r="H2" s="1"/>
      <c r="I2" s="1"/>
      <c r="J2" s="1"/>
    </row>
    <row r="3" spans="1:21">
      <c r="A3" s="3" t="s">
        <v>116</v>
      </c>
      <c r="B3" s="3"/>
      <c r="C3" s="3"/>
      <c r="D3" s="3"/>
      <c r="E3" s="3"/>
      <c r="F3" s="3"/>
      <c r="G3" s="3"/>
      <c r="H3" s="3"/>
      <c r="I3" s="3"/>
      <c r="J3" s="3"/>
    </row>
    <row r="5" spans="1:21" ht="42" customHeight="1">
      <c r="A5" s="9" t="s">
        <v>117</v>
      </c>
      <c r="B5" s="10" t="s">
        <v>20</v>
      </c>
      <c r="C5" s="10" t="s">
        <v>118</v>
      </c>
      <c r="D5" s="10" t="s">
        <v>119</v>
      </c>
      <c r="E5" s="10" t="s">
        <v>120</v>
      </c>
      <c r="F5" s="10" t="s">
        <v>121</v>
      </c>
      <c r="G5" s="10" t="s">
        <v>122</v>
      </c>
      <c r="H5" s="10" t="s">
        <v>123</v>
      </c>
      <c r="I5" s="10" t="s">
        <v>124</v>
      </c>
      <c r="J5" s="11" t="s">
        <v>37</v>
      </c>
    </row>
    <row r="6" spans="1:21" ht="20.100000000000001" customHeight="1">
      <c r="A6" s="12"/>
      <c r="B6" s="12"/>
      <c r="C6" s="12"/>
      <c r="D6" s="12"/>
      <c r="E6" s="12"/>
      <c r="F6" s="12"/>
      <c r="G6" s="12"/>
      <c r="H6" s="12"/>
      <c r="I6" s="26"/>
      <c r="J6" s="12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</row>
    <row r="7" spans="1:21" ht="20.100000000000001" customHeight="1">
      <c r="A7" s="13"/>
      <c r="B7" s="13"/>
      <c r="C7" s="13"/>
      <c r="D7" s="13"/>
      <c r="E7" s="13"/>
      <c r="F7" s="13"/>
      <c r="G7" s="13"/>
      <c r="H7" s="13"/>
      <c r="I7" s="27"/>
      <c r="J7" s="13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</row>
    <row r="8" spans="1:21" ht="20.100000000000001" customHeight="1">
      <c r="A8" s="13"/>
      <c r="B8" s="13"/>
      <c r="C8" s="13"/>
      <c r="D8" s="13"/>
      <c r="E8" s="13"/>
      <c r="F8" s="13"/>
      <c r="G8" s="13"/>
      <c r="H8" s="13"/>
      <c r="I8" s="27"/>
      <c r="J8" s="13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spans="1:21" ht="20.100000000000001" customHeight="1">
      <c r="A9" s="13"/>
      <c r="B9" s="13"/>
      <c r="C9" s="13"/>
      <c r="D9" s="13"/>
      <c r="E9" s="13"/>
      <c r="F9" s="13"/>
      <c r="G9" s="13"/>
      <c r="H9" s="13"/>
      <c r="I9" s="27"/>
      <c r="J9" s="13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spans="1:21" ht="20.100000000000001" customHeight="1">
      <c r="A10" s="13"/>
      <c r="B10" s="13"/>
      <c r="C10" s="13"/>
      <c r="D10" s="13"/>
      <c r="E10" s="13"/>
      <c r="F10" s="13"/>
      <c r="G10" s="13"/>
      <c r="H10" s="13"/>
      <c r="I10" s="27"/>
      <c r="J10" s="13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</row>
    <row r="11" spans="1:21" ht="20.100000000000001" customHeight="1">
      <c r="A11" s="13"/>
      <c r="B11" s="13"/>
      <c r="C11" s="13"/>
      <c r="D11" s="13"/>
      <c r="E11" s="13"/>
      <c r="F11" s="13"/>
      <c r="G11" s="13"/>
      <c r="H11" s="13"/>
      <c r="I11" s="27"/>
      <c r="J11" s="13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</row>
    <row r="12" spans="1:21" ht="20.100000000000001" customHeight="1">
      <c r="A12" s="13"/>
      <c r="B12" s="13"/>
      <c r="C12" s="13"/>
      <c r="D12" s="13"/>
      <c r="E12" s="13"/>
      <c r="F12" s="13"/>
      <c r="G12" s="13"/>
      <c r="H12" s="13"/>
      <c r="I12" s="27"/>
      <c r="J12" s="13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 spans="1:21" ht="20.100000000000001" customHeight="1">
      <c r="A13" s="13"/>
      <c r="B13" s="13"/>
      <c r="C13" s="13"/>
      <c r="D13" s="13"/>
      <c r="E13" s="13"/>
      <c r="F13" s="13"/>
      <c r="G13" s="13"/>
      <c r="H13" s="13"/>
      <c r="I13" s="27"/>
      <c r="J13" s="13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 spans="1:21" ht="20.100000000000001" customHeight="1">
      <c r="A14" s="13"/>
      <c r="B14" s="13"/>
      <c r="C14" s="13"/>
      <c r="D14" s="13"/>
      <c r="E14" s="13"/>
      <c r="F14" s="13"/>
      <c r="G14" s="13"/>
      <c r="H14" s="13"/>
      <c r="I14" s="27"/>
      <c r="J14" s="13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 spans="1:21" ht="20.100000000000001" customHeight="1">
      <c r="A15" s="13"/>
      <c r="B15" s="13"/>
      <c r="C15" s="13"/>
      <c r="D15" s="13"/>
      <c r="E15" s="13"/>
      <c r="F15" s="13"/>
      <c r="G15" s="13"/>
      <c r="H15" s="13"/>
      <c r="I15" s="27"/>
      <c r="J15" s="13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 spans="1:21" ht="20.100000000000001" customHeight="1">
      <c r="A16" s="13"/>
      <c r="B16" s="13"/>
      <c r="C16" s="13"/>
      <c r="D16" s="13"/>
      <c r="E16" s="13"/>
      <c r="F16" s="13"/>
      <c r="G16" s="13"/>
      <c r="H16" s="13"/>
      <c r="I16" s="27"/>
      <c r="J16" s="13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 spans="1:21" ht="20.100000000000001" customHeight="1">
      <c r="A17" s="13"/>
      <c r="B17" s="13"/>
      <c r="C17" s="13"/>
      <c r="D17" s="13"/>
      <c r="E17" s="13"/>
      <c r="F17" s="13"/>
      <c r="G17" s="13"/>
      <c r="H17" s="13"/>
      <c r="I17" s="27"/>
      <c r="J17" s="13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ht="20.100000000000001" customHeight="1">
      <c r="A18" s="13"/>
      <c r="B18" s="13"/>
      <c r="C18" s="13"/>
      <c r="D18" s="13"/>
      <c r="E18" s="13"/>
      <c r="F18" s="13"/>
      <c r="G18" s="13"/>
      <c r="H18" s="13"/>
      <c r="I18" s="27"/>
      <c r="J18" s="13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spans="1:21" ht="20.100000000000001" customHeight="1">
      <c r="A19" s="13"/>
      <c r="B19" s="13"/>
      <c r="C19" s="13"/>
      <c r="D19" s="13"/>
      <c r="E19" s="13"/>
      <c r="F19" s="13"/>
      <c r="G19" s="13"/>
      <c r="H19" s="13"/>
      <c r="I19" s="27"/>
      <c r="J19" s="13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0" spans="1:21" ht="20.100000000000001" customHeight="1">
      <c r="A20" s="13"/>
      <c r="B20" s="13"/>
      <c r="C20" s="13"/>
      <c r="D20" s="13"/>
      <c r="E20" s="13"/>
      <c r="F20" s="13"/>
      <c r="G20" s="13"/>
      <c r="H20" s="13"/>
      <c r="I20" s="27"/>
      <c r="J20" s="13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</row>
    <row r="21" spans="1:21" ht="20.100000000000001" customHeight="1">
      <c r="A21" s="13"/>
      <c r="B21" s="13"/>
      <c r="C21" s="13"/>
      <c r="D21" s="13"/>
      <c r="E21" s="13"/>
      <c r="F21" s="13"/>
      <c r="G21" s="13"/>
      <c r="H21" s="13"/>
      <c r="I21" s="27"/>
      <c r="J21" s="13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spans="1:21" ht="20.100000000000001" customHeight="1">
      <c r="A22" s="13"/>
      <c r="B22" s="13"/>
      <c r="C22" s="13"/>
      <c r="D22" s="13"/>
      <c r="E22" s="13"/>
      <c r="F22" s="13"/>
      <c r="G22" s="13"/>
      <c r="H22" s="13"/>
      <c r="I22" s="27"/>
      <c r="J22" s="13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spans="1:21" ht="20.100000000000001" customHeight="1">
      <c r="A23" s="13"/>
      <c r="B23" s="13"/>
      <c r="C23" s="13"/>
      <c r="D23" s="13"/>
      <c r="E23" s="13"/>
      <c r="F23" s="13"/>
      <c r="G23" s="13"/>
      <c r="H23" s="13"/>
      <c r="I23" s="27"/>
      <c r="J23" s="13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ht="20.100000000000001" customHeight="1">
      <c r="A24" s="13"/>
      <c r="B24" s="13"/>
      <c r="C24" s="13"/>
      <c r="D24" s="13"/>
      <c r="E24" s="13"/>
      <c r="F24" s="13"/>
      <c r="G24" s="13"/>
      <c r="H24" s="13"/>
      <c r="I24" s="27"/>
      <c r="J24" s="13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 spans="1:21" ht="20.100000000000001" customHeight="1">
      <c r="A25" s="13"/>
      <c r="B25" s="13"/>
      <c r="C25" s="13"/>
      <c r="D25" s="13"/>
      <c r="E25" s="13"/>
      <c r="F25" s="13"/>
      <c r="G25" s="13"/>
      <c r="H25" s="13"/>
      <c r="I25" s="27"/>
      <c r="J25" s="13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pans="1:21" ht="20.100000000000001" customHeight="1">
      <c r="A26" s="13"/>
      <c r="B26" s="13"/>
      <c r="C26" s="13"/>
      <c r="D26" s="13"/>
      <c r="E26" s="13"/>
      <c r="F26" s="13"/>
      <c r="G26" s="13"/>
      <c r="H26" s="13"/>
      <c r="I26" s="27"/>
      <c r="J26" s="13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1:21" ht="20.100000000000001" customHeight="1">
      <c r="A27" s="13"/>
      <c r="B27" s="13"/>
      <c r="C27" s="13"/>
      <c r="D27" s="13"/>
      <c r="E27" s="13"/>
      <c r="F27" s="13"/>
      <c r="G27" s="13"/>
      <c r="H27" s="13"/>
      <c r="I27" s="27"/>
      <c r="J27" s="13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pans="1:21" ht="20.100000000000001" customHeight="1">
      <c r="A28" s="13"/>
      <c r="B28" s="13"/>
      <c r="C28" s="13"/>
      <c r="D28" s="13"/>
      <c r="E28" s="13"/>
      <c r="F28" s="13"/>
      <c r="G28" s="13"/>
      <c r="H28" s="13"/>
      <c r="I28" s="27"/>
      <c r="J28" s="13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29" spans="1:21" ht="20.100000000000001" customHeight="1">
      <c r="A29" s="13"/>
      <c r="B29" s="13"/>
      <c r="C29" s="13"/>
      <c r="D29" s="13"/>
      <c r="E29" s="13"/>
      <c r="F29" s="13"/>
      <c r="G29" s="13"/>
      <c r="H29" s="13"/>
      <c r="I29" s="27"/>
      <c r="J29" s="13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</row>
    <row r="30" spans="1:21" ht="20.100000000000001" customHeight="1">
      <c r="A30" s="13"/>
      <c r="B30" s="13"/>
      <c r="C30" s="13"/>
      <c r="D30" s="13"/>
      <c r="E30" s="13"/>
      <c r="F30" s="13"/>
      <c r="G30" s="13"/>
      <c r="H30" s="13"/>
      <c r="I30" s="27"/>
      <c r="J30" s="13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  <row r="31" spans="1:21" ht="20.100000000000001" customHeight="1">
      <c r="A31" s="13"/>
      <c r="B31" s="13"/>
      <c r="C31" s="13"/>
      <c r="D31" s="13"/>
      <c r="E31" s="13"/>
      <c r="F31" s="13"/>
      <c r="G31" s="13"/>
      <c r="H31" s="13"/>
      <c r="I31" s="27"/>
      <c r="J31" s="13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spans="1:21" ht="20.100000000000001" customHeight="1">
      <c r="A32" s="13"/>
      <c r="B32" s="13"/>
      <c r="C32" s="13"/>
      <c r="D32" s="13"/>
      <c r="E32" s="13"/>
      <c r="F32" s="13"/>
      <c r="G32" s="13"/>
      <c r="H32" s="13"/>
      <c r="I32" s="27"/>
      <c r="J32" s="13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1" ht="20.100000000000001" customHeight="1">
      <c r="A33" s="13"/>
      <c r="B33" s="13"/>
      <c r="C33" s="13"/>
      <c r="D33" s="13"/>
      <c r="E33" s="13"/>
      <c r="F33" s="13"/>
      <c r="G33" s="13"/>
      <c r="H33" s="13"/>
      <c r="I33" s="27"/>
      <c r="J33" s="13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1:21" ht="20.100000000000001" customHeight="1">
      <c r="A34" s="13"/>
      <c r="B34" s="13"/>
      <c r="C34" s="13"/>
      <c r="D34" s="13"/>
      <c r="E34" s="13"/>
      <c r="F34" s="13"/>
      <c r="G34" s="13"/>
      <c r="H34" s="13"/>
      <c r="I34" s="27"/>
      <c r="J34" s="13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1:21" ht="20.100000000000001" customHeight="1">
      <c r="A35" s="13"/>
      <c r="B35" s="13"/>
      <c r="C35" s="13"/>
      <c r="D35" s="13"/>
      <c r="E35" s="13"/>
      <c r="F35" s="13"/>
      <c r="G35" s="13"/>
      <c r="H35" s="13"/>
      <c r="I35" s="27"/>
      <c r="J35" s="13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spans="1:21" ht="20.100000000000001" customHeight="1">
      <c r="A36" s="13"/>
      <c r="B36" s="13"/>
      <c r="C36" s="13"/>
      <c r="D36" s="13"/>
      <c r="E36" s="13"/>
      <c r="F36" s="13"/>
      <c r="G36" s="13"/>
      <c r="H36" s="13"/>
      <c r="I36" s="27"/>
      <c r="J36" s="13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1:21" ht="20.100000000000001" customHeight="1">
      <c r="A37" s="13"/>
      <c r="B37" s="13"/>
      <c r="C37" s="13"/>
      <c r="D37" s="13"/>
      <c r="E37" s="13"/>
      <c r="F37" s="13"/>
      <c r="G37" s="13"/>
      <c r="H37" s="13"/>
      <c r="I37" s="27"/>
      <c r="J37" s="13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1:21" ht="20.100000000000001" customHeight="1">
      <c r="A38" s="13"/>
      <c r="B38" s="13"/>
      <c r="C38" s="13"/>
      <c r="D38" s="13"/>
      <c r="E38" s="13"/>
      <c r="F38" s="13"/>
      <c r="G38" s="13"/>
      <c r="H38" s="13"/>
      <c r="I38" s="27"/>
      <c r="J38" s="13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1" ht="20.100000000000001" customHeight="1">
      <c r="A39" s="13"/>
      <c r="B39" s="13"/>
      <c r="C39" s="13"/>
      <c r="D39" s="13"/>
      <c r="E39" s="13"/>
      <c r="F39" s="13"/>
      <c r="G39" s="13"/>
      <c r="H39" s="13"/>
      <c r="I39" s="27"/>
      <c r="J39" s="13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1:21" ht="20.100000000000001" customHeight="1">
      <c r="A40" s="13"/>
      <c r="B40" s="13"/>
      <c r="C40" s="13"/>
      <c r="D40" s="13"/>
      <c r="E40" s="13"/>
      <c r="F40" s="13"/>
      <c r="G40" s="13"/>
      <c r="H40" s="13"/>
      <c r="I40" s="27"/>
      <c r="J40" s="13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1:21" ht="20.100000000000001" customHeight="1">
      <c r="A41" s="13"/>
      <c r="B41" s="13"/>
      <c r="C41" s="13"/>
      <c r="D41" s="13"/>
      <c r="E41" s="13"/>
      <c r="F41" s="13"/>
      <c r="G41" s="13"/>
      <c r="H41" s="13"/>
      <c r="I41" s="27"/>
      <c r="J41" s="13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1" ht="20.100000000000001" customHeight="1">
      <c r="A42" s="13"/>
      <c r="B42" s="13"/>
      <c r="C42" s="13"/>
      <c r="D42" s="13"/>
      <c r="E42" s="13"/>
      <c r="F42" s="13"/>
      <c r="G42" s="13"/>
      <c r="H42" s="13"/>
      <c r="I42" s="27"/>
      <c r="J42" s="13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spans="1:21" ht="20.100000000000001" customHeight="1">
      <c r="A43" s="13"/>
      <c r="B43" s="13"/>
      <c r="C43" s="13"/>
      <c r="D43" s="13"/>
      <c r="E43" s="13"/>
      <c r="F43" s="13"/>
      <c r="G43" s="13"/>
      <c r="H43" s="13"/>
      <c r="I43" s="27"/>
      <c r="J43" s="13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spans="1:21" ht="20.100000000000001" customHeight="1">
      <c r="A44" s="13"/>
      <c r="B44" s="13"/>
      <c r="C44" s="13"/>
      <c r="D44" s="13"/>
      <c r="E44" s="13"/>
      <c r="F44" s="13"/>
      <c r="G44" s="13"/>
      <c r="H44" s="13"/>
      <c r="I44" s="27"/>
      <c r="J44" s="13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spans="1:21" ht="20.100000000000001" customHeight="1">
      <c r="A45" s="13"/>
      <c r="B45" s="13"/>
      <c r="C45" s="13"/>
      <c r="D45" s="13"/>
      <c r="E45" s="13"/>
      <c r="F45" s="13"/>
      <c r="G45" s="13"/>
      <c r="H45" s="13"/>
      <c r="I45" s="27"/>
      <c r="J45" s="13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1:21" ht="20.100000000000001" customHeight="1">
      <c r="A46" s="13"/>
      <c r="B46" s="13"/>
      <c r="C46" s="13"/>
      <c r="D46" s="13"/>
      <c r="E46" s="13"/>
      <c r="F46" s="13"/>
      <c r="G46" s="13"/>
      <c r="H46" s="13"/>
      <c r="I46" s="27"/>
      <c r="J46" s="13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spans="1:21" ht="20.100000000000001" customHeight="1">
      <c r="A47" s="13"/>
      <c r="B47" s="13"/>
      <c r="C47" s="13"/>
      <c r="D47" s="13"/>
      <c r="E47" s="13"/>
      <c r="F47" s="13"/>
      <c r="G47" s="13"/>
      <c r="H47" s="13"/>
      <c r="I47" s="27"/>
      <c r="J47" s="13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spans="1:21" ht="20.100000000000001" customHeight="1">
      <c r="A48" s="13"/>
      <c r="B48" s="13"/>
      <c r="C48" s="13"/>
      <c r="D48" s="13"/>
      <c r="E48" s="13"/>
      <c r="F48" s="13"/>
      <c r="G48" s="13"/>
      <c r="H48" s="13"/>
      <c r="I48" s="27"/>
      <c r="J48" s="13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1:21" ht="20.100000000000001" customHeight="1">
      <c r="A49" s="13"/>
      <c r="B49" s="13"/>
      <c r="C49" s="13"/>
      <c r="D49" s="13"/>
      <c r="E49" s="13"/>
      <c r="F49" s="13"/>
      <c r="G49" s="13"/>
      <c r="H49" s="13"/>
      <c r="I49" s="27"/>
      <c r="J49" s="13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spans="1:21" ht="20.100000000000001" customHeight="1">
      <c r="A50" s="13"/>
      <c r="B50" s="13"/>
      <c r="C50" s="13"/>
      <c r="D50" s="13"/>
      <c r="E50" s="13"/>
      <c r="F50" s="13"/>
      <c r="G50" s="13"/>
      <c r="H50" s="13"/>
      <c r="I50" s="27"/>
      <c r="J50" s="13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1" ht="20.100000000000001" customHeight="1">
      <c r="A51" s="13"/>
      <c r="B51" s="13"/>
      <c r="C51" s="13"/>
      <c r="D51" s="13"/>
      <c r="E51" s="13"/>
      <c r="F51" s="13"/>
      <c r="G51" s="13"/>
      <c r="H51" s="13"/>
      <c r="I51" s="27"/>
      <c r="J51" s="13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1:21" ht="20.100000000000001" customHeight="1">
      <c r="A52" s="13"/>
      <c r="B52" s="13"/>
      <c r="C52" s="13"/>
      <c r="D52" s="13"/>
      <c r="E52" s="13"/>
      <c r="F52" s="13"/>
      <c r="G52" s="13"/>
      <c r="H52" s="13"/>
      <c r="I52" s="27"/>
      <c r="J52" s="13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  <row r="53" spans="1:21" ht="20.100000000000001" customHeight="1">
      <c r="A53" s="13"/>
      <c r="B53" s="13"/>
      <c r="C53" s="13"/>
      <c r="D53" s="13"/>
      <c r="E53" s="13"/>
      <c r="F53" s="13"/>
      <c r="G53" s="13"/>
      <c r="H53" s="13"/>
      <c r="I53" s="27"/>
      <c r="J53" s="13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spans="1:21" ht="20.100000000000001" customHeight="1">
      <c r="A54" s="13"/>
      <c r="B54" s="13"/>
      <c r="C54" s="13"/>
      <c r="D54" s="13"/>
      <c r="E54" s="13"/>
      <c r="F54" s="13"/>
      <c r="G54" s="13"/>
      <c r="H54" s="13"/>
      <c r="I54" s="27"/>
      <c r="J54" s="13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spans="1:21" ht="20.100000000000001" customHeight="1">
      <c r="A55" s="13"/>
      <c r="B55" s="13"/>
      <c r="C55" s="13"/>
      <c r="D55" s="13"/>
      <c r="E55" s="13"/>
      <c r="F55" s="13"/>
      <c r="G55" s="13"/>
      <c r="H55" s="13"/>
      <c r="I55" s="27"/>
      <c r="J55" s="13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ht="20.100000000000001" customHeight="1">
      <c r="A56" s="13"/>
      <c r="B56" s="13"/>
      <c r="C56" s="13"/>
      <c r="D56" s="13"/>
      <c r="E56" s="13"/>
      <c r="F56" s="13"/>
      <c r="G56" s="13"/>
      <c r="H56" s="13"/>
      <c r="I56" s="27"/>
      <c r="J56" s="13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</row>
    <row r="57" spans="1:21" ht="20.100000000000001" customHeight="1">
      <c r="A57" s="13"/>
      <c r="B57" s="13"/>
      <c r="C57" s="13"/>
      <c r="D57" s="13"/>
      <c r="E57" s="13"/>
      <c r="F57" s="13"/>
      <c r="G57" s="13"/>
      <c r="H57" s="13"/>
      <c r="I57" s="27"/>
      <c r="J57" s="13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</row>
    <row r="58" spans="1:21" ht="20.100000000000001" customHeight="1">
      <c r="A58" s="13"/>
      <c r="B58" s="13"/>
      <c r="C58" s="13"/>
      <c r="D58" s="13"/>
      <c r="E58" s="13"/>
      <c r="F58" s="13"/>
      <c r="G58" s="13"/>
      <c r="H58" s="13"/>
      <c r="I58" s="27"/>
      <c r="J58" s="13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59" spans="1:21" ht="20.100000000000001" customHeight="1">
      <c r="A59" s="13"/>
      <c r="B59" s="13"/>
      <c r="C59" s="13"/>
      <c r="D59" s="13"/>
      <c r="E59" s="13"/>
      <c r="F59" s="13"/>
      <c r="G59" s="13"/>
      <c r="H59" s="13"/>
      <c r="I59" s="27"/>
      <c r="J59" s="13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</row>
    <row r="60" spans="1:21" ht="20.100000000000001" customHeight="1">
      <c r="A60" s="13"/>
      <c r="B60" s="13"/>
      <c r="C60" s="13"/>
      <c r="D60" s="13"/>
      <c r="E60" s="13"/>
      <c r="F60" s="13"/>
      <c r="G60" s="13"/>
      <c r="H60" s="13"/>
      <c r="I60" s="27"/>
      <c r="J60" s="13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</row>
    <row r="61" spans="1:21" ht="20.100000000000001" customHeight="1">
      <c r="A61" s="13"/>
      <c r="B61" s="13"/>
      <c r="C61" s="13"/>
      <c r="D61" s="13"/>
      <c r="E61" s="13"/>
      <c r="F61" s="13"/>
      <c r="G61" s="13"/>
      <c r="H61" s="13"/>
      <c r="I61" s="27"/>
      <c r="J61" s="13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</row>
    <row r="62" spans="1:21" ht="20.100000000000001" customHeight="1">
      <c r="A62" s="13"/>
      <c r="B62" s="13"/>
      <c r="C62" s="13"/>
      <c r="D62" s="13"/>
      <c r="E62" s="13"/>
      <c r="F62" s="13"/>
      <c r="G62" s="13"/>
      <c r="H62" s="13"/>
      <c r="I62" s="27"/>
      <c r="J62" s="13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</row>
    <row r="63" spans="1:21" ht="20.100000000000001" customHeight="1">
      <c r="A63" s="13"/>
      <c r="B63" s="13"/>
      <c r="C63" s="13"/>
      <c r="D63" s="13"/>
      <c r="E63" s="13"/>
      <c r="F63" s="13"/>
      <c r="G63" s="13"/>
      <c r="H63" s="13"/>
      <c r="I63" s="27"/>
      <c r="J63" s="13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</row>
    <row r="64" spans="1:21" ht="20.100000000000001" customHeight="1">
      <c r="A64" s="13"/>
      <c r="B64" s="13"/>
      <c r="C64" s="13"/>
      <c r="D64" s="13"/>
      <c r="E64" s="13"/>
      <c r="F64" s="13"/>
      <c r="G64" s="13"/>
      <c r="H64" s="13"/>
      <c r="I64" s="27"/>
      <c r="J64" s="13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</row>
    <row r="65" spans="1:21" ht="20.100000000000001" customHeight="1">
      <c r="A65" s="13"/>
      <c r="B65" s="13"/>
      <c r="C65" s="13"/>
      <c r="D65" s="13"/>
      <c r="E65" s="13"/>
      <c r="F65" s="13"/>
      <c r="G65" s="13"/>
      <c r="H65" s="13"/>
      <c r="I65" s="27"/>
      <c r="J65" s="13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</row>
    <row r="66" spans="1:21" ht="20.100000000000001" customHeight="1">
      <c r="A66" s="13"/>
      <c r="B66" s="13"/>
      <c r="C66" s="13"/>
      <c r="D66" s="13"/>
      <c r="E66" s="13"/>
      <c r="F66" s="13"/>
      <c r="G66" s="13"/>
      <c r="H66" s="13"/>
      <c r="I66" s="27"/>
      <c r="J66" s="13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</row>
    <row r="67" spans="1:21" ht="20.100000000000001" customHeight="1">
      <c r="A67" s="13"/>
      <c r="B67" s="13"/>
      <c r="C67" s="13"/>
      <c r="D67" s="13"/>
      <c r="E67" s="13"/>
      <c r="F67" s="13"/>
      <c r="G67" s="13"/>
      <c r="H67" s="13"/>
      <c r="I67" s="27"/>
      <c r="J67" s="13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</row>
    <row r="68" spans="1:21" ht="20.100000000000001" customHeight="1">
      <c r="A68" s="13"/>
      <c r="B68" s="13"/>
      <c r="C68" s="13"/>
      <c r="D68" s="13"/>
      <c r="E68" s="13"/>
      <c r="F68" s="13"/>
      <c r="G68" s="13"/>
      <c r="H68" s="13"/>
      <c r="I68" s="27"/>
      <c r="J68" s="13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</row>
    <row r="69" spans="1:21" ht="20.100000000000001" customHeight="1">
      <c r="A69" s="13"/>
      <c r="B69" s="13"/>
      <c r="C69" s="13"/>
      <c r="D69" s="13"/>
      <c r="E69" s="13"/>
      <c r="F69" s="13"/>
      <c r="G69" s="13"/>
      <c r="H69" s="13"/>
      <c r="I69" s="27"/>
      <c r="J69" s="13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</row>
    <row r="70" spans="1:21" ht="20.100000000000001" customHeight="1">
      <c r="A70" s="13"/>
      <c r="B70" s="13"/>
      <c r="C70" s="13"/>
      <c r="D70" s="13"/>
      <c r="E70" s="13"/>
      <c r="F70" s="13"/>
      <c r="G70" s="13"/>
      <c r="H70" s="13"/>
      <c r="I70" s="27"/>
      <c r="J70" s="13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</row>
    <row r="71" spans="1:21" ht="20.100000000000001" customHeight="1">
      <c r="A71" s="13"/>
      <c r="B71" s="13"/>
      <c r="C71" s="13"/>
      <c r="D71" s="13"/>
      <c r="E71" s="13"/>
      <c r="F71" s="13"/>
      <c r="G71" s="13"/>
      <c r="H71" s="13"/>
      <c r="I71" s="27"/>
      <c r="J71" s="13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</row>
    <row r="72" spans="1:21" ht="20.100000000000001" customHeight="1">
      <c r="A72" s="13"/>
      <c r="B72" s="13"/>
      <c r="C72" s="13"/>
      <c r="D72" s="13"/>
      <c r="E72" s="13"/>
      <c r="F72" s="13"/>
      <c r="G72" s="13"/>
      <c r="H72" s="13"/>
      <c r="I72" s="27"/>
      <c r="J72" s="13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</row>
    <row r="73" spans="1:21" ht="20.100000000000001" customHeight="1">
      <c r="A73" s="13"/>
      <c r="B73" s="13"/>
      <c r="C73" s="13"/>
      <c r="D73" s="13"/>
      <c r="E73" s="13"/>
      <c r="F73" s="13"/>
      <c r="G73" s="13"/>
      <c r="H73" s="13"/>
      <c r="I73" s="27"/>
      <c r="J73" s="13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</row>
    <row r="74" spans="1:21" ht="20.100000000000001" customHeight="1">
      <c r="A74" s="13"/>
      <c r="B74" s="13"/>
      <c r="C74" s="13"/>
      <c r="D74" s="13"/>
      <c r="E74" s="13"/>
      <c r="F74" s="13"/>
      <c r="G74" s="13"/>
      <c r="H74" s="13"/>
      <c r="I74" s="27"/>
      <c r="J74" s="13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</row>
    <row r="75" spans="1:21" ht="20.100000000000001" customHeight="1">
      <c r="A75" s="13"/>
      <c r="B75" s="13"/>
      <c r="C75" s="13"/>
      <c r="D75" s="13"/>
      <c r="E75" s="13"/>
      <c r="F75" s="13"/>
      <c r="G75" s="13"/>
      <c r="H75" s="13"/>
      <c r="I75" s="27"/>
      <c r="J75" s="13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</row>
    <row r="76" spans="1:21" ht="20.100000000000001" customHeight="1">
      <c r="A76" s="13"/>
      <c r="B76" s="13"/>
      <c r="C76" s="13"/>
      <c r="D76" s="13"/>
      <c r="E76" s="13"/>
      <c r="F76" s="13"/>
      <c r="G76" s="13"/>
      <c r="H76" s="13"/>
      <c r="I76" s="27"/>
      <c r="J76" s="13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</row>
    <row r="77" spans="1:21" ht="20.100000000000001" customHeight="1">
      <c r="A77" s="13"/>
      <c r="B77" s="13"/>
      <c r="C77" s="13"/>
      <c r="D77" s="13"/>
      <c r="E77" s="13"/>
      <c r="F77" s="13"/>
      <c r="G77" s="13"/>
      <c r="H77" s="13"/>
      <c r="I77" s="27"/>
      <c r="J77" s="13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</row>
    <row r="78" spans="1:21" ht="20.100000000000001" customHeight="1">
      <c r="A78" s="13"/>
      <c r="B78" s="13"/>
      <c r="C78" s="13"/>
      <c r="D78" s="13"/>
      <c r="E78" s="13"/>
      <c r="F78" s="13"/>
      <c r="G78" s="13"/>
      <c r="H78" s="13"/>
      <c r="I78" s="27"/>
      <c r="J78" s="13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</row>
    <row r="79" spans="1:21" ht="20.100000000000001" customHeight="1">
      <c r="A79" s="13"/>
      <c r="B79" s="13"/>
      <c r="C79" s="13"/>
      <c r="D79" s="13"/>
      <c r="E79" s="13"/>
      <c r="F79" s="13"/>
      <c r="G79" s="13"/>
      <c r="H79" s="13"/>
      <c r="I79" s="27"/>
      <c r="J79" s="13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</row>
    <row r="80" spans="1:21" ht="20.100000000000001" customHeight="1">
      <c r="A80" s="13"/>
      <c r="B80" s="13"/>
      <c r="C80" s="13"/>
      <c r="D80" s="13"/>
      <c r="E80" s="13"/>
      <c r="F80" s="13"/>
      <c r="G80" s="13"/>
      <c r="H80" s="13"/>
      <c r="I80" s="27"/>
      <c r="J80" s="13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</row>
    <row r="81" spans="1:21" ht="20.100000000000001" customHeight="1">
      <c r="A81" s="13"/>
      <c r="B81" s="13"/>
      <c r="C81" s="13"/>
      <c r="D81" s="13"/>
      <c r="E81" s="13"/>
      <c r="F81" s="13"/>
      <c r="G81" s="13"/>
      <c r="H81" s="13"/>
      <c r="I81" s="27"/>
      <c r="J81" s="13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</row>
    <row r="82" spans="1:21" ht="20.100000000000001" customHeight="1">
      <c r="A82" s="13"/>
      <c r="B82" s="13"/>
      <c r="C82" s="13"/>
      <c r="D82" s="13"/>
      <c r="E82" s="13"/>
      <c r="F82" s="13"/>
      <c r="G82" s="13"/>
      <c r="H82" s="13"/>
      <c r="I82" s="27"/>
      <c r="J82" s="13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</row>
    <row r="83" spans="1:21" ht="20.100000000000001" customHeight="1">
      <c r="A83" s="13"/>
      <c r="B83" s="13"/>
      <c r="C83" s="13"/>
      <c r="D83" s="13"/>
      <c r="E83" s="13"/>
      <c r="F83" s="13"/>
      <c r="G83" s="13"/>
      <c r="H83" s="13"/>
      <c r="I83" s="27"/>
      <c r="J83" s="13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</row>
    <row r="84" spans="1:21" ht="20.100000000000001" customHeight="1">
      <c r="A84" s="13"/>
      <c r="B84" s="13"/>
      <c r="C84" s="13"/>
      <c r="D84" s="13"/>
      <c r="E84" s="13"/>
      <c r="F84" s="13"/>
      <c r="G84" s="13"/>
      <c r="H84" s="13"/>
      <c r="I84" s="27"/>
      <c r="J84" s="13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</row>
    <row r="85" spans="1:21" ht="20.100000000000001" customHeight="1">
      <c r="A85" s="13"/>
      <c r="B85" s="13"/>
      <c r="C85" s="13"/>
      <c r="D85" s="13"/>
      <c r="E85" s="13"/>
      <c r="F85" s="13"/>
      <c r="G85" s="13"/>
      <c r="H85" s="13"/>
      <c r="I85" s="27"/>
      <c r="J85" s="13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</row>
    <row r="86" spans="1:21" ht="20.100000000000001" customHeight="1">
      <c r="A86" s="13"/>
      <c r="B86" s="13"/>
      <c r="C86" s="13"/>
      <c r="D86" s="13"/>
      <c r="E86" s="13"/>
      <c r="F86" s="13"/>
      <c r="G86" s="13"/>
      <c r="H86" s="13"/>
      <c r="I86" s="27"/>
      <c r="J86" s="13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</row>
    <row r="87" spans="1:21" ht="20.100000000000001" customHeight="1">
      <c r="A87" s="13"/>
      <c r="B87" s="13"/>
      <c r="C87" s="13"/>
      <c r="D87" s="13"/>
      <c r="E87" s="13"/>
      <c r="F87" s="13"/>
      <c r="G87" s="13"/>
      <c r="H87" s="13"/>
      <c r="I87" s="27"/>
      <c r="J87" s="13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</row>
    <row r="88" spans="1:21" ht="20.100000000000001" customHeight="1">
      <c r="A88" s="13"/>
      <c r="B88" s="13"/>
      <c r="C88" s="13"/>
      <c r="D88" s="13"/>
      <c r="E88" s="13"/>
      <c r="F88" s="13"/>
      <c r="G88" s="13"/>
      <c r="H88" s="13"/>
      <c r="I88" s="27"/>
      <c r="J88" s="13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</row>
    <row r="89" spans="1:21" ht="20.100000000000001" customHeight="1">
      <c r="A89" s="13"/>
      <c r="B89" s="13"/>
      <c r="C89" s="13"/>
      <c r="D89" s="13"/>
      <c r="E89" s="13"/>
      <c r="F89" s="13"/>
      <c r="G89" s="13"/>
      <c r="H89" s="13"/>
      <c r="I89" s="27"/>
      <c r="J89" s="13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</row>
    <row r="90" spans="1:21" ht="20.100000000000001" customHeight="1">
      <c r="A90" s="13"/>
      <c r="B90" s="13"/>
      <c r="C90" s="13"/>
      <c r="D90" s="13"/>
      <c r="E90" s="13"/>
      <c r="F90" s="13"/>
      <c r="G90" s="13"/>
      <c r="H90" s="13"/>
      <c r="I90" s="27"/>
      <c r="J90" s="13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</row>
    <row r="91" spans="1:21" ht="20.100000000000001" customHeight="1">
      <c r="A91" s="13"/>
      <c r="B91" s="13"/>
      <c r="C91" s="13"/>
      <c r="D91" s="13"/>
      <c r="E91" s="13"/>
      <c r="F91" s="13"/>
      <c r="G91" s="13"/>
      <c r="H91" s="13"/>
      <c r="I91" s="27"/>
      <c r="J91" s="13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</row>
    <row r="92" spans="1:21" ht="20.100000000000001" customHeight="1">
      <c r="A92" s="13"/>
      <c r="B92" s="13"/>
      <c r="C92" s="13"/>
      <c r="D92" s="13"/>
      <c r="E92" s="13"/>
      <c r="F92" s="13"/>
      <c r="G92" s="13"/>
      <c r="H92" s="13"/>
      <c r="I92" s="27"/>
      <c r="J92" s="13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</row>
    <row r="93" spans="1:21" ht="20.100000000000001" customHeight="1">
      <c r="A93" s="13"/>
      <c r="B93" s="13"/>
      <c r="C93" s="13"/>
      <c r="D93" s="13"/>
      <c r="E93" s="13"/>
      <c r="F93" s="13"/>
      <c r="G93" s="13"/>
      <c r="H93" s="13"/>
      <c r="I93" s="27"/>
      <c r="J93" s="13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</row>
    <row r="94" spans="1:21" ht="20.100000000000001" customHeight="1">
      <c r="A94" s="13"/>
      <c r="B94" s="13"/>
      <c r="C94" s="13"/>
      <c r="D94" s="13"/>
      <c r="E94" s="13"/>
      <c r="F94" s="13"/>
      <c r="G94" s="13"/>
      <c r="H94" s="13"/>
      <c r="I94" s="27"/>
      <c r="J94" s="13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</row>
    <row r="95" spans="1:21" ht="20.100000000000001" customHeight="1">
      <c r="A95" s="13"/>
      <c r="B95" s="13"/>
      <c r="C95" s="13"/>
      <c r="D95" s="13"/>
      <c r="E95" s="13"/>
      <c r="F95" s="13"/>
      <c r="G95" s="13"/>
      <c r="H95" s="13"/>
      <c r="I95" s="27"/>
      <c r="J95" s="13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</row>
    <row r="96" spans="1:21" ht="20.100000000000001" customHeight="1">
      <c r="A96" s="13"/>
      <c r="B96" s="13"/>
      <c r="C96" s="13"/>
      <c r="D96" s="13"/>
      <c r="E96" s="13"/>
      <c r="F96" s="13"/>
      <c r="G96" s="13"/>
      <c r="H96" s="13"/>
      <c r="I96" s="27"/>
      <c r="J96" s="13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</row>
    <row r="97" spans="1:21" ht="20.100000000000001" customHeight="1">
      <c r="A97" s="13"/>
      <c r="B97" s="13"/>
      <c r="C97" s="13"/>
      <c r="D97" s="13"/>
      <c r="E97" s="13"/>
      <c r="F97" s="13"/>
      <c r="G97" s="13"/>
      <c r="H97" s="13"/>
      <c r="I97" s="27"/>
      <c r="J97" s="13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</row>
    <row r="98" spans="1:21" ht="20.100000000000001" customHeight="1">
      <c r="A98" s="13"/>
      <c r="B98" s="13"/>
      <c r="C98" s="13"/>
      <c r="D98" s="13"/>
      <c r="E98" s="13"/>
      <c r="F98" s="13"/>
      <c r="G98" s="13"/>
      <c r="H98" s="13"/>
      <c r="I98" s="27"/>
      <c r="J98" s="13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</row>
    <row r="99" spans="1:21" ht="20.100000000000001" customHeight="1">
      <c r="A99" s="13"/>
      <c r="B99" s="13"/>
      <c r="C99" s="13"/>
      <c r="D99" s="13"/>
      <c r="E99" s="13"/>
      <c r="F99" s="13"/>
      <c r="G99" s="13"/>
      <c r="H99" s="13"/>
      <c r="I99" s="27"/>
      <c r="J99" s="13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</row>
    <row r="100" spans="1:21" ht="20.100000000000001" customHeight="1">
      <c r="A100" s="13"/>
      <c r="B100" s="13"/>
      <c r="C100" s="13"/>
      <c r="D100" s="13"/>
      <c r="E100" s="13"/>
      <c r="F100" s="13"/>
      <c r="G100" s="13"/>
      <c r="H100" s="13"/>
      <c r="I100" s="27"/>
      <c r="J100" s="13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</row>
    <row r="101" spans="1:21" ht="20.100000000000001" customHeight="1">
      <c r="A101" s="13"/>
      <c r="B101" s="13"/>
      <c r="C101" s="13"/>
      <c r="D101" s="13"/>
      <c r="E101" s="13"/>
      <c r="F101" s="13"/>
      <c r="G101" s="13"/>
      <c r="H101" s="13"/>
      <c r="I101" s="27"/>
      <c r="J101" s="13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</row>
    <row r="102" spans="1:21" ht="20.100000000000001" customHeight="1">
      <c r="A102" s="13"/>
      <c r="B102" s="13"/>
      <c r="C102" s="13"/>
      <c r="D102" s="13"/>
      <c r="E102" s="13"/>
      <c r="F102" s="13"/>
      <c r="G102" s="13"/>
      <c r="H102" s="13"/>
      <c r="I102" s="27"/>
      <c r="J102" s="13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</row>
    <row r="103" spans="1:21" ht="20.100000000000001" customHeight="1">
      <c r="A103" s="13"/>
      <c r="B103" s="13"/>
      <c r="C103" s="13"/>
      <c r="D103" s="13"/>
      <c r="E103" s="13"/>
      <c r="F103" s="13"/>
      <c r="G103" s="13"/>
      <c r="H103" s="13"/>
      <c r="I103" s="27"/>
      <c r="J103" s="13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</row>
    <row r="104" spans="1:21" ht="20.100000000000001" customHeight="1">
      <c r="A104" s="13"/>
      <c r="B104" s="13"/>
      <c r="C104" s="13"/>
      <c r="D104" s="13"/>
      <c r="E104" s="13"/>
      <c r="F104" s="13"/>
      <c r="G104" s="13"/>
      <c r="H104" s="13"/>
      <c r="I104" s="27"/>
      <c r="J104" s="13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</row>
    <row r="105" spans="1:21" ht="20.100000000000001" customHeight="1">
      <c r="A105" s="13"/>
      <c r="B105" s="13"/>
      <c r="C105" s="13"/>
      <c r="D105" s="13"/>
      <c r="E105" s="13"/>
      <c r="F105" s="13"/>
      <c r="G105" s="13"/>
      <c r="H105" s="13"/>
      <c r="I105" s="27"/>
      <c r="J105" s="13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</row>
    <row r="106" spans="1:21" ht="20.100000000000001" customHeight="1">
      <c r="A106" s="13"/>
      <c r="B106" s="13"/>
      <c r="C106" s="13"/>
      <c r="D106" s="13"/>
      <c r="E106" s="13"/>
      <c r="F106" s="13"/>
      <c r="G106" s="13"/>
      <c r="H106" s="13"/>
      <c r="I106" s="27"/>
      <c r="J106" s="13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</row>
    <row r="107" spans="1:21" ht="20.100000000000001" customHeight="1">
      <c r="A107" s="13"/>
      <c r="B107" s="13"/>
      <c r="C107" s="13"/>
      <c r="D107" s="13"/>
      <c r="E107" s="13"/>
      <c r="F107" s="13"/>
      <c r="G107" s="13"/>
      <c r="H107" s="13"/>
      <c r="I107" s="27"/>
      <c r="J107" s="13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</row>
    <row r="108" spans="1:21" ht="20.100000000000001" customHeight="1">
      <c r="A108" s="13"/>
      <c r="B108" s="13"/>
      <c r="C108" s="13"/>
      <c r="D108" s="13"/>
      <c r="E108" s="13"/>
      <c r="F108" s="13"/>
      <c r="G108" s="13"/>
      <c r="H108" s="13"/>
      <c r="I108" s="27"/>
      <c r="J108" s="13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</row>
    <row r="109" spans="1:21" ht="20.100000000000001" customHeight="1">
      <c r="A109" s="13"/>
      <c r="B109" s="13"/>
      <c r="C109" s="13"/>
      <c r="D109" s="13"/>
      <c r="E109" s="13"/>
      <c r="F109" s="13"/>
      <c r="G109" s="13"/>
      <c r="H109" s="13"/>
      <c r="I109" s="27"/>
      <c r="J109" s="13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</row>
    <row r="110" spans="1:21" ht="20.100000000000001" customHeight="1">
      <c r="A110" s="13"/>
      <c r="B110" s="13"/>
      <c r="C110" s="13"/>
      <c r="D110" s="13"/>
      <c r="E110" s="13"/>
      <c r="F110" s="13"/>
      <c r="G110" s="13"/>
      <c r="H110" s="13"/>
      <c r="I110" s="27"/>
      <c r="J110" s="13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</row>
    <row r="111" spans="1:21" ht="20.100000000000001" customHeight="1">
      <c r="A111" s="13"/>
      <c r="B111" s="13"/>
      <c r="C111" s="13"/>
      <c r="D111" s="13"/>
      <c r="E111" s="13"/>
      <c r="F111" s="13"/>
      <c r="G111" s="13"/>
      <c r="H111" s="13"/>
      <c r="I111" s="27"/>
      <c r="J111" s="13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</row>
    <row r="112" spans="1:21" ht="20.100000000000001" customHeight="1">
      <c r="A112" s="13"/>
      <c r="B112" s="13"/>
      <c r="C112" s="13"/>
      <c r="D112" s="13"/>
      <c r="E112" s="13"/>
      <c r="F112" s="13"/>
      <c r="G112" s="13"/>
      <c r="H112" s="13"/>
      <c r="I112" s="27"/>
      <c r="J112" s="13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</row>
    <row r="113" spans="1:21" ht="20.100000000000001" customHeight="1">
      <c r="A113" s="13"/>
      <c r="B113" s="13"/>
      <c r="C113" s="13"/>
      <c r="D113" s="13"/>
      <c r="E113" s="13"/>
      <c r="F113" s="13"/>
      <c r="G113" s="13"/>
      <c r="H113" s="13"/>
      <c r="I113" s="27"/>
      <c r="J113" s="13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</row>
    <row r="114" spans="1:21" ht="20.100000000000001" customHeight="1">
      <c r="A114" s="13"/>
      <c r="B114" s="13"/>
      <c r="C114" s="13"/>
      <c r="D114" s="13"/>
      <c r="E114" s="13"/>
      <c r="F114" s="13"/>
      <c r="G114" s="13"/>
      <c r="H114" s="13"/>
      <c r="I114" s="27"/>
      <c r="J114" s="13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</row>
    <row r="115" spans="1:21" ht="20.100000000000001" customHeight="1">
      <c r="A115" s="13"/>
      <c r="B115" s="13"/>
      <c r="C115" s="13"/>
      <c r="D115" s="13"/>
      <c r="E115" s="13"/>
      <c r="F115" s="13"/>
      <c r="G115" s="13"/>
      <c r="H115" s="13"/>
      <c r="I115" s="27"/>
      <c r="J115" s="13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</row>
    <row r="116" spans="1:21" ht="20.100000000000001" customHeight="1">
      <c r="A116" s="13"/>
      <c r="B116" s="13"/>
      <c r="C116" s="13"/>
      <c r="D116" s="13"/>
      <c r="E116" s="13"/>
      <c r="F116" s="13"/>
      <c r="G116" s="13"/>
      <c r="H116" s="13"/>
      <c r="I116" s="27"/>
      <c r="J116" s="13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</row>
    <row r="117" spans="1:21" ht="20.100000000000001" customHeight="1">
      <c r="A117" s="13"/>
      <c r="B117" s="13"/>
      <c r="C117" s="13"/>
      <c r="D117" s="13"/>
      <c r="E117" s="13"/>
      <c r="F117" s="13"/>
      <c r="G117" s="13"/>
      <c r="H117" s="13"/>
      <c r="I117" s="27"/>
      <c r="J117" s="13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</row>
    <row r="118" spans="1:21" ht="20.100000000000001" customHeight="1">
      <c r="A118" s="13"/>
      <c r="B118" s="13"/>
      <c r="C118" s="13"/>
      <c r="D118" s="13"/>
      <c r="E118" s="13"/>
      <c r="F118" s="13"/>
      <c r="G118" s="13"/>
      <c r="H118" s="13"/>
      <c r="I118" s="27"/>
      <c r="J118" s="13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</row>
    <row r="119" spans="1:21" ht="20.100000000000001" customHeight="1">
      <c r="A119" s="13"/>
      <c r="B119" s="13"/>
      <c r="C119" s="13"/>
      <c r="D119" s="13"/>
      <c r="E119" s="13"/>
      <c r="F119" s="13"/>
      <c r="G119" s="13"/>
      <c r="H119" s="13"/>
      <c r="I119" s="27"/>
      <c r="J119" s="13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</row>
    <row r="120" spans="1:21" ht="20.100000000000001" customHeight="1">
      <c r="A120" s="13"/>
      <c r="B120" s="13"/>
      <c r="C120" s="13"/>
      <c r="D120" s="13"/>
      <c r="E120" s="13"/>
      <c r="F120" s="13"/>
      <c r="G120" s="13"/>
      <c r="H120" s="13"/>
      <c r="I120" s="27"/>
      <c r="J120" s="13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</row>
    <row r="121" spans="1:21" ht="20.100000000000001" customHeight="1">
      <c r="A121" s="13"/>
      <c r="B121" s="13"/>
      <c r="C121" s="13"/>
      <c r="D121" s="13"/>
      <c r="E121" s="13"/>
      <c r="F121" s="13"/>
      <c r="G121" s="13"/>
      <c r="H121" s="13"/>
      <c r="I121" s="27"/>
      <c r="J121" s="13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</row>
    <row r="122" spans="1:21" ht="20.100000000000001" customHeight="1">
      <c r="A122" s="13"/>
      <c r="B122" s="13"/>
      <c r="C122" s="13"/>
      <c r="D122" s="13"/>
      <c r="E122" s="13"/>
      <c r="F122" s="13"/>
      <c r="G122" s="13"/>
      <c r="H122" s="13"/>
      <c r="I122" s="27"/>
      <c r="J122" s="13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</row>
    <row r="123" spans="1:21" ht="20.100000000000001" customHeight="1">
      <c r="A123" s="13"/>
      <c r="B123" s="13"/>
      <c r="C123" s="13"/>
      <c r="D123" s="13"/>
      <c r="E123" s="13"/>
      <c r="F123" s="13"/>
      <c r="G123" s="13"/>
      <c r="H123" s="13"/>
      <c r="I123" s="27"/>
      <c r="J123" s="13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</row>
    <row r="124" spans="1:21" ht="20.100000000000001" customHeight="1">
      <c r="A124" s="13"/>
      <c r="B124" s="13"/>
      <c r="C124" s="13"/>
      <c r="D124" s="13"/>
      <c r="E124" s="13"/>
      <c r="F124" s="13"/>
      <c r="G124" s="13"/>
      <c r="H124" s="13"/>
      <c r="I124" s="27"/>
      <c r="J124" s="13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</row>
    <row r="125" spans="1:21" ht="20.100000000000001" customHeight="1">
      <c r="A125" s="13"/>
      <c r="B125" s="13"/>
      <c r="C125" s="13"/>
      <c r="D125" s="13"/>
      <c r="E125" s="13"/>
      <c r="F125" s="13"/>
      <c r="G125" s="13"/>
      <c r="H125" s="13"/>
      <c r="I125" s="27"/>
      <c r="J125" s="13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</row>
    <row r="126" spans="1:21" ht="20.100000000000001" customHeight="1">
      <c r="A126" s="13"/>
      <c r="B126" s="13"/>
      <c r="C126" s="13"/>
      <c r="D126" s="13"/>
      <c r="E126" s="13"/>
      <c r="F126" s="13"/>
      <c r="G126" s="13"/>
      <c r="H126" s="13"/>
      <c r="I126" s="27"/>
      <c r="J126" s="13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</row>
    <row r="127" spans="1:21" ht="20.100000000000001" customHeight="1">
      <c r="A127" s="13"/>
      <c r="B127" s="13"/>
      <c r="C127" s="13"/>
      <c r="D127" s="13"/>
      <c r="E127" s="13"/>
      <c r="F127" s="13"/>
      <c r="G127" s="13"/>
      <c r="H127" s="13"/>
      <c r="I127" s="27"/>
      <c r="J127" s="13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</row>
    <row r="128" spans="1:21" ht="20.100000000000001" customHeight="1">
      <c r="A128" s="13"/>
      <c r="B128" s="13"/>
      <c r="C128" s="13"/>
      <c r="D128" s="13"/>
      <c r="E128" s="13"/>
      <c r="F128" s="13"/>
      <c r="G128" s="13"/>
      <c r="H128" s="13"/>
      <c r="I128" s="27"/>
      <c r="J128" s="13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</row>
    <row r="129" spans="1:21" ht="20.100000000000001" customHeight="1">
      <c r="A129" s="13"/>
      <c r="B129" s="13"/>
      <c r="C129" s="13"/>
      <c r="D129" s="13"/>
      <c r="E129" s="13"/>
      <c r="F129" s="13"/>
      <c r="G129" s="13"/>
      <c r="H129" s="13"/>
      <c r="I129" s="27"/>
      <c r="J129" s="13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</row>
    <row r="130" spans="1:21" ht="20.100000000000001" customHeight="1">
      <c r="A130" s="13"/>
      <c r="B130" s="13"/>
      <c r="C130" s="13"/>
      <c r="D130" s="13"/>
      <c r="E130" s="13"/>
      <c r="F130" s="13"/>
      <c r="G130" s="13"/>
      <c r="H130" s="13"/>
      <c r="I130" s="27"/>
      <c r="J130" s="13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</row>
    <row r="131" spans="1:21" ht="20.100000000000001" customHeight="1">
      <c r="A131" s="13"/>
      <c r="B131" s="13"/>
      <c r="C131" s="13"/>
      <c r="D131" s="13"/>
      <c r="E131" s="13"/>
      <c r="F131" s="13"/>
      <c r="G131" s="13"/>
      <c r="H131" s="13"/>
      <c r="I131" s="27"/>
      <c r="J131" s="13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</row>
    <row r="132" spans="1:21" ht="20.100000000000001" customHeight="1">
      <c r="A132" s="13"/>
      <c r="B132" s="13"/>
      <c r="C132" s="13"/>
      <c r="D132" s="13"/>
      <c r="E132" s="13"/>
      <c r="F132" s="13"/>
      <c r="G132" s="13"/>
      <c r="H132" s="13"/>
      <c r="I132" s="27"/>
      <c r="J132" s="13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</row>
    <row r="133" spans="1:21" ht="20.100000000000001" customHeight="1">
      <c r="A133" s="13"/>
      <c r="B133" s="13"/>
      <c r="C133" s="13"/>
      <c r="D133" s="13"/>
      <c r="E133" s="13"/>
      <c r="F133" s="13"/>
      <c r="G133" s="13"/>
      <c r="H133" s="13"/>
      <c r="I133" s="27"/>
      <c r="J133" s="13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</row>
    <row r="134" spans="1:21" ht="20.100000000000001" customHeight="1">
      <c r="A134" s="13"/>
      <c r="B134" s="13"/>
      <c r="C134" s="13"/>
      <c r="D134" s="13"/>
      <c r="E134" s="13"/>
      <c r="F134" s="13"/>
      <c r="G134" s="13"/>
      <c r="H134" s="13"/>
      <c r="I134" s="27"/>
      <c r="J134" s="13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</row>
    <row r="135" spans="1:21" ht="20.100000000000001" customHeight="1">
      <c r="A135" s="13"/>
      <c r="B135" s="13"/>
      <c r="C135" s="13"/>
      <c r="D135" s="13"/>
      <c r="E135" s="13"/>
      <c r="F135" s="13"/>
      <c r="G135" s="13"/>
      <c r="H135" s="13"/>
      <c r="I135" s="27"/>
      <c r="J135" s="13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</row>
    <row r="136" spans="1:21" ht="20.100000000000001" customHeight="1">
      <c r="A136" s="13"/>
      <c r="B136" s="13"/>
      <c r="C136" s="13"/>
      <c r="D136" s="13"/>
      <c r="E136" s="13"/>
      <c r="F136" s="13"/>
      <c r="G136" s="13"/>
      <c r="H136" s="13"/>
      <c r="I136" s="27"/>
      <c r="J136" s="13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</row>
    <row r="137" spans="1:21" ht="20.100000000000001" customHeight="1">
      <c r="A137" s="13"/>
      <c r="B137" s="13"/>
      <c r="C137" s="13"/>
      <c r="D137" s="13"/>
      <c r="E137" s="13"/>
      <c r="F137" s="13"/>
      <c r="G137" s="13"/>
      <c r="H137" s="13"/>
      <c r="I137" s="27"/>
      <c r="J137" s="13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</row>
    <row r="138" spans="1:21" ht="20.100000000000001" customHeight="1">
      <c r="A138" s="13"/>
      <c r="B138" s="13"/>
      <c r="C138" s="13"/>
      <c r="D138" s="13"/>
      <c r="E138" s="13"/>
      <c r="F138" s="13"/>
      <c r="G138" s="13"/>
      <c r="H138" s="13"/>
      <c r="I138" s="27"/>
      <c r="J138" s="13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</row>
    <row r="139" spans="1:21" ht="20.100000000000001" customHeight="1">
      <c r="A139" s="13"/>
      <c r="B139" s="13"/>
      <c r="C139" s="13"/>
      <c r="D139" s="13"/>
      <c r="E139" s="13"/>
      <c r="F139" s="13"/>
      <c r="G139" s="13"/>
      <c r="H139" s="13"/>
      <c r="I139" s="27"/>
      <c r="J139" s="13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</row>
    <row r="140" spans="1:21" ht="20.100000000000001" customHeight="1">
      <c r="A140" s="13"/>
      <c r="B140" s="13"/>
      <c r="C140" s="13"/>
      <c r="D140" s="13"/>
      <c r="E140" s="13"/>
      <c r="F140" s="13"/>
      <c r="G140" s="13"/>
      <c r="H140" s="13"/>
      <c r="I140" s="27"/>
      <c r="J140" s="13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</row>
    <row r="141" spans="1:21" ht="20.100000000000001" customHeight="1">
      <c r="A141" s="13"/>
      <c r="B141" s="13"/>
      <c r="C141" s="13"/>
      <c r="D141" s="13"/>
      <c r="E141" s="13"/>
      <c r="F141" s="13"/>
      <c r="G141" s="13"/>
      <c r="H141" s="13"/>
      <c r="I141" s="27"/>
      <c r="J141" s="13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</row>
    <row r="142" spans="1:21" ht="20.100000000000001" customHeight="1">
      <c r="A142" s="13"/>
      <c r="B142" s="13"/>
      <c r="C142" s="13"/>
      <c r="D142" s="13"/>
      <c r="E142" s="13"/>
      <c r="F142" s="13"/>
      <c r="G142" s="13"/>
      <c r="H142" s="13"/>
      <c r="I142" s="27"/>
      <c r="J142" s="13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</row>
    <row r="143" spans="1:21" ht="20.100000000000001" customHeight="1">
      <c r="A143" s="13"/>
      <c r="B143" s="13"/>
      <c r="C143" s="13"/>
      <c r="D143" s="13"/>
      <c r="E143" s="13"/>
      <c r="F143" s="13"/>
      <c r="G143" s="13"/>
      <c r="H143" s="13"/>
      <c r="I143" s="27"/>
      <c r="J143" s="13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</row>
    <row r="144" spans="1:21" ht="20.100000000000001" customHeight="1">
      <c r="A144" s="13"/>
      <c r="B144" s="13"/>
      <c r="C144" s="13"/>
      <c r="D144" s="13"/>
      <c r="E144" s="13"/>
      <c r="F144" s="13"/>
      <c r="G144" s="13"/>
      <c r="H144" s="13"/>
      <c r="I144" s="27"/>
      <c r="J144" s="13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</row>
    <row r="145" spans="1:21" ht="20.100000000000001" customHeight="1">
      <c r="A145" s="13"/>
      <c r="B145" s="13"/>
      <c r="C145" s="13"/>
      <c r="D145" s="13"/>
      <c r="E145" s="13"/>
      <c r="F145" s="13"/>
      <c r="G145" s="13"/>
      <c r="H145" s="13"/>
      <c r="I145" s="27"/>
      <c r="J145" s="13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</row>
    <row r="146" spans="1:21" ht="20.100000000000001" customHeight="1">
      <c r="A146" s="13"/>
      <c r="B146" s="13"/>
      <c r="C146" s="13"/>
      <c r="D146" s="13"/>
      <c r="E146" s="13"/>
      <c r="F146" s="13"/>
      <c r="G146" s="13"/>
      <c r="H146" s="13"/>
      <c r="I146" s="27"/>
      <c r="J146" s="13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</row>
    <row r="147" spans="1:21" ht="20.100000000000001" customHeight="1">
      <c r="A147" s="13"/>
      <c r="B147" s="13"/>
      <c r="C147" s="13"/>
      <c r="D147" s="13"/>
      <c r="E147" s="13"/>
      <c r="F147" s="13"/>
      <c r="G147" s="13"/>
      <c r="H147" s="13"/>
      <c r="I147" s="27"/>
      <c r="J147" s="13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</row>
    <row r="148" spans="1:21" ht="20.100000000000001" customHeight="1">
      <c r="A148" s="13"/>
      <c r="B148" s="13"/>
      <c r="C148" s="13"/>
      <c r="D148" s="13"/>
      <c r="E148" s="13"/>
      <c r="F148" s="13"/>
      <c r="G148" s="13"/>
      <c r="H148" s="13"/>
      <c r="I148" s="27"/>
      <c r="J148" s="13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</row>
    <row r="149" spans="1:21" ht="20.100000000000001" customHeight="1">
      <c r="A149" s="13"/>
      <c r="B149" s="13"/>
      <c r="C149" s="13"/>
      <c r="D149" s="13"/>
      <c r="E149" s="13"/>
      <c r="F149" s="13"/>
      <c r="G149" s="13"/>
      <c r="H149" s="13"/>
      <c r="I149" s="27"/>
      <c r="J149" s="13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</row>
    <row r="150" spans="1:21" ht="20.100000000000001" customHeight="1">
      <c r="A150" s="13"/>
      <c r="B150" s="13"/>
      <c r="C150" s="13"/>
      <c r="D150" s="13"/>
      <c r="E150" s="13"/>
      <c r="F150" s="13"/>
      <c r="G150" s="13"/>
      <c r="H150" s="13"/>
      <c r="I150" s="27"/>
      <c r="J150" s="13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</row>
    <row r="151" spans="1:21" ht="20.100000000000001" customHeight="1">
      <c r="A151" s="13"/>
      <c r="B151" s="13"/>
      <c r="C151" s="13"/>
      <c r="D151" s="13"/>
      <c r="E151" s="13"/>
      <c r="F151" s="13"/>
      <c r="G151" s="13"/>
      <c r="H151" s="13"/>
      <c r="I151" s="27"/>
      <c r="J151" s="13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</row>
    <row r="152" spans="1:21" ht="20.100000000000001" customHeight="1">
      <c r="A152" s="13"/>
      <c r="B152" s="13"/>
      <c r="C152" s="13"/>
      <c r="D152" s="13"/>
      <c r="E152" s="13"/>
      <c r="F152" s="13"/>
      <c r="G152" s="13"/>
      <c r="H152" s="13"/>
      <c r="I152" s="27"/>
      <c r="J152" s="13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</row>
    <row r="153" spans="1:21" ht="20.100000000000001" customHeight="1">
      <c r="A153" s="13"/>
      <c r="B153" s="13"/>
      <c r="C153" s="13"/>
      <c r="D153" s="13"/>
      <c r="E153" s="13"/>
      <c r="F153" s="13"/>
      <c r="G153" s="13"/>
      <c r="H153" s="13"/>
      <c r="I153" s="27"/>
      <c r="J153" s="13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</row>
    <row r="154" spans="1:21" ht="20.100000000000001" customHeight="1">
      <c r="A154" s="13"/>
      <c r="B154" s="13"/>
      <c r="C154" s="13"/>
      <c r="D154" s="13"/>
      <c r="E154" s="13"/>
      <c r="F154" s="13"/>
      <c r="G154" s="13"/>
      <c r="H154" s="13"/>
      <c r="I154" s="27"/>
      <c r="J154" s="13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</row>
    <row r="155" spans="1:21" ht="20.100000000000001" customHeight="1">
      <c r="A155" s="13"/>
      <c r="B155" s="13"/>
      <c r="C155" s="13"/>
      <c r="D155" s="13"/>
      <c r="E155" s="13"/>
      <c r="F155" s="13"/>
      <c r="G155" s="13"/>
      <c r="H155" s="13"/>
      <c r="I155" s="27"/>
      <c r="J155" s="13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</row>
    <row r="156" spans="1:21" ht="20.100000000000001" customHeight="1">
      <c r="A156" s="13"/>
      <c r="B156" s="13"/>
      <c r="C156" s="13"/>
      <c r="D156" s="13"/>
      <c r="E156" s="13"/>
      <c r="F156" s="13"/>
      <c r="G156" s="13"/>
      <c r="H156" s="13"/>
      <c r="I156" s="27"/>
      <c r="J156" s="13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</row>
    <row r="157" spans="1:21" ht="20.100000000000001" customHeight="1">
      <c r="A157" s="13"/>
      <c r="B157" s="13"/>
      <c r="C157" s="13"/>
      <c r="D157" s="13"/>
      <c r="E157" s="13"/>
      <c r="F157" s="13"/>
      <c r="G157" s="13"/>
      <c r="H157" s="13"/>
      <c r="I157" s="27"/>
      <c r="J157" s="13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</row>
    <row r="158" spans="1:21" ht="20.100000000000001" customHeight="1">
      <c r="A158" s="13"/>
      <c r="B158" s="13"/>
      <c r="C158" s="13"/>
      <c r="D158" s="13"/>
      <c r="E158" s="13"/>
      <c r="F158" s="13"/>
      <c r="G158" s="13"/>
      <c r="H158" s="13"/>
      <c r="I158" s="27"/>
      <c r="J158" s="13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</row>
    <row r="159" spans="1:21" ht="20.100000000000001" customHeight="1">
      <c r="A159" s="13"/>
      <c r="B159" s="13"/>
      <c r="C159" s="13"/>
      <c r="D159" s="13"/>
      <c r="E159" s="13"/>
      <c r="F159" s="13"/>
      <c r="G159" s="13"/>
      <c r="H159" s="13"/>
      <c r="I159" s="27"/>
      <c r="J159" s="13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</row>
    <row r="160" spans="1:21" ht="20.100000000000001" customHeight="1">
      <c r="A160" s="13"/>
      <c r="B160" s="13"/>
      <c r="C160" s="13"/>
      <c r="D160" s="13"/>
      <c r="E160" s="13"/>
      <c r="F160" s="13"/>
      <c r="G160" s="13"/>
      <c r="H160" s="13"/>
      <c r="I160" s="27"/>
      <c r="J160" s="13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</row>
    <row r="161" spans="1:21" ht="20.100000000000001" customHeight="1">
      <c r="A161" s="13"/>
      <c r="B161" s="13"/>
      <c r="C161" s="13"/>
      <c r="D161" s="13"/>
      <c r="E161" s="13"/>
      <c r="F161" s="13"/>
      <c r="G161" s="13"/>
      <c r="H161" s="13"/>
      <c r="I161" s="27"/>
      <c r="J161" s="13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</row>
    <row r="162" spans="1:21" ht="20.100000000000001" customHeight="1">
      <c r="A162" s="13"/>
      <c r="B162" s="13"/>
      <c r="C162" s="13"/>
      <c r="D162" s="13"/>
      <c r="E162" s="13"/>
      <c r="F162" s="13"/>
      <c r="G162" s="13"/>
      <c r="H162" s="13"/>
      <c r="I162" s="27"/>
      <c r="J162" s="13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</row>
    <row r="163" spans="1:21" ht="20.100000000000001" customHeight="1">
      <c r="A163" s="13"/>
      <c r="B163" s="13"/>
      <c r="C163" s="13"/>
      <c r="D163" s="13"/>
      <c r="E163" s="13"/>
      <c r="F163" s="13"/>
      <c r="G163" s="13"/>
      <c r="H163" s="13"/>
      <c r="I163" s="27"/>
      <c r="J163" s="13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</row>
    <row r="164" spans="1:21" ht="20.100000000000001" customHeight="1">
      <c r="A164" s="13"/>
      <c r="B164" s="13"/>
      <c r="C164" s="13"/>
      <c r="D164" s="13"/>
      <c r="E164" s="13"/>
      <c r="F164" s="13"/>
      <c r="G164" s="13"/>
      <c r="H164" s="13"/>
      <c r="I164" s="27"/>
      <c r="J164" s="13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</row>
    <row r="165" spans="1:21" ht="20.100000000000001" customHeight="1">
      <c r="A165" s="13"/>
      <c r="B165" s="13"/>
      <c r="C165" s="13"/>
      <c r="D165" s="13"/>
      <c r="E165" s="13"/>
      <c r="F165" s="13"/>
      <c r="G165" s="13"/>
      <c r="H165" s="13"/>
      <c r="I165" s="27"/>
      <c r="J165" s="13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</row>
    <row r="166" spans="1:21" ht="20.100000000000001" customHeight="1">
      <c r="A166" s="13"/>
      <c r="B166" s="13"/>
      <c r="C166" s="13"/>
      <c r="D166" s="13"/>
      <c r="E166" s="13"/>
      <c r="F166" s="13"/>
      <c r="G166" s="13"/>
      <c r="H166" s="13"/>
      <c r="I166" s="27"/>
      <c r="J166" s="13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</row>
    <row r="167" spans="1:21" ht="20.100000000000001" customHeight="1">
      <c r="A167" s="13"/>
      <c r="B167" s="13"/>
      <c r="C167" s="13"/>
      <c r="D167" s="13"/>
      <c r="E167" s="13"/>
      <c r="F167" s="13"/>
      <c r="G167" s="13"/>
      <c r="H167" s="13"/>
      <c r="I167" s="27"/>
      <c r="J167" s="13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</row>
    <row r="168" spans="1:21" ht="20.100000000000001" customHeight="1">
      <c r="A168" s="13"/>
      <c r="B168" s="13"/>
      <c r="C168" s="13"/>
      <c r="D168" s="13"/>
      <c r="E168" s="13"/>
      <c r="F168" s="13"/>
      <c r="G168" s="13"/>
      <c r="H168" s="13"/>
      <c r="I168" s="27"/>
      <c r="J168" s="13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</row>
    <row r="169" spans="1:21" ht="20.100000000000001" customHeight="1">
      <c r="A169" s="13"/>
      <c r="B169" s="13"/>
      <c r="C169" s="13"/>
      <c r="D169" s="13"/>
      <c r="E169" s="13"/>
      <c r="F169" s="13"/>
      <c r="G169" s="13"/>
      <c r="H169" s="13"/>
      <c r="I169" s="27"/>
      <c r="J169" s="13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</row>
    <row r="170" spans="1:21" ht="20.100000000000001" customHeight="1">
      <c r="A170" s="13"/>
      <c r="B170" s="13"/>
      <c r="C170" s="13"/>
      <c r="D170" s="13"/>
      <c r="E170" s="13"/>
      <c r="F170" s="13"/>
      <c r="G170" s="13"/>
      <c r="H170" s="13"/>
      <c r="I170" s="27"/>
      <c r="J170" s="13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</row>
    <row r="171" spans="1:21" ht="20.100000000000001" customHeight="1">
      <c r="A171" s="13"/>
      <c r="B171" s="13"/>
      <c r="C171" s="13"/>
      <c r="D171" s="13"/>
      <c r="E171" s="13"/>
      <c r="F171" s="13"/>
      <c r="G171" s="13"/>
      <c r="H171" s="13"/>
      <c r="I171" s="27"/>
      <c r="J171" s="13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</row>
    <row r="172" spans="1:21" ht="20.100000000000001" customHeight="1">
      <c r="A172" s="13"/>
      <c r="B172" s="13"/>
      <c r="C172" s="13"/>
      <c r="D172" s="13"/>
      <c r="E172" s="13"/>
      <c r="F172" s="13"/>
      <c r="G172" s="13"/>
      <c r="H172" s="13"/>
      <c r="I172" s="27"/>
      <c r="J172" s="13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</row>
    <row r="173" spans="1:21" ht="20.100000000000001" customHeight="1">
      <c r="A173" s="13"/>
      <c r="B173" s="13"/>
      <c r="C173" s="13"/>
      <c r="D173" s="13"/>
      <c r="E173" s="13"/>
      <c r="F173" s="13"/>
      <c r="G173" s="13"/>
      <c r="H173" s="13"/>
      <c r="I173" s="27"/>
      <c r="J173" s="13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</row>
    <row r="174" spans="1:21" ht="20.100000000000001" customHeight="1">
      <c r="A174" s="13"/>
      <c r="B174" s="13"/>
      <c r="C174" s="13"/>
      <c r="D174" s="13"/>
      <c r="E174" s="13"/>
      <c r="F174" s="13"/>
      <c r="G174" s="13"/>
      <c r="H174" s="13"/>
      <c r="I174" s="27"/>
      <c r="J174" s="13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</row>
    <row r="175" spans="1:21" ht="20.100000000000001" customHeight="1">
      <c r="A175" s="13"/>
      <c r="B175" s="13"/>
      <c r="C175" s="13"/>
      <c r="D175" s="13"/>
      <c r="E175" s="13"/>
      <c r="F175" s="13"/>
      <c r="G175" s="13"/>
      <c r="H175" s="13"/>
      <c r="I175" s="27"/>
      <c r="J175" s="13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</row>
    <row r="176" spans="1:21" ht="20.100000000000001" customHeight="1">
      <c r="A176" s="13"/>
      <c r="B176" s="13"/>
      <c r="C176" s="13"/>
      <c r="D176" s="13"/>
      <c r="E176" s="13"/>
      <c r="F176" s="13"/>
      <c r="G176" s="13"/>
      <c r="H176" s="13"/>
      <c r="I176" s="27"/>
      <c r="J176" s="13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</row>
    <row r="177" spans="1:21" ht="20.100000000000001" customHeight="1">
      <c r="A177" s="13"/>
      <c r="B177" s="13"/>
      <c r="C177" s="13"/>
      <c r="D177" s="13"/>
      <c r="E177" s="13"/>
      <c r="F177" s="13"/>
      <c r="G177" s="13"/>
      <c r="H177" s="13"/>
      <c r="I177" s="27"/>
      <c r="J177" s="13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</row>
    <row r="178" spans="1:21" ht="20.100000000000001" customHeight="1">
      <c r="A178" s="13"/>
      <c r="B178" s="13"/>
      <c r="C178" s="13"/>
      <c r="D178" s="13"/>
      <c r="E178" s="13"/>
      <c r="F178" s="13"/>
      <c r="G178" s="13"/>
      <c r="H178" s="13"/>
      <c r="I178" s="27"/>
      <c r="J178" s="13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</row>
    <row r="179" spans="1:21" ht="20.100000000000001" customHeight="1">
      <c r="A179" s="13"/>
      <c r="B179" s="13"/>
      <c r="C179" s="13"/>
      <c r="D179" s="13"/>
      <c r="E179" s="13"/>
      <c r="F179" s="13"/>
      <c r="G179" s="13"/>
      <c r="H179" s="13"/>
      <c r="I179" s="27"/>
      <c r="J179" s="13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</row>
    <row r="180" spans="1:21" ht="20.100000000000001" customHeight="1">
      <c r="A180" s="13"/>
      <c r="B180" s="13"/>
      <c r="C180" s="13"/>
      <c r="D180" s="13"/>
      <c r="E180" s="13"/>
      <c r="F180" s="13"/>
      <c r="G180" s="13"/>
      <c r="H180" s="13"/>
      <c r="I180" s="27"/>
      <c r="J180" s="13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</row>
    <row r="181" spans="1:21" ht="20.100000000000001" customHeight="1">
      <c r="A181" s="13"/>
      <c r="B181" s="13"/>
      <c r="C181" s="13"/>
      <c r="D181" s="13"/>
      <c r="E181" s="13"/>
      <c r="F181" s="13"/>
      <c r="G181" s="13"/>
      <c r="H181" s="13"/>
      <c r="I181" s="27"/>
      <c r="J181" s="13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</row>
    <row r="182" spans="1:21" ht="20.100000000000001" customHeight="1">
      <c r="A182" s="13"/>
      <c r="B182" s="13"/>
      <c r="C182" s="13"/>
      <c r="D182" s="13"/>
      <c r="E182" s="13"/>
      <c r="F182" s="13"/>
      <c r="G182" s="13"/>
      <c r="H182" s="13"/>
      <c r="I182" s="27"/>
      <c r="J182" s="13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</row>
    <row r="183" spans="1:21" ht="20.100000000000001" customHeight="1">
      <c r="A183" s="13"/>
      <c r="B183" s="13"/>
      <c r="C183" s="13"/>
      <c r="D183" s="13"/>
      <c r="E183" s="13"/>
      <c r="F183" s="13"/>
      <c r="G183" s="13"/>
      <c r="H183" s="13"/>
      <c r="I183" s="27"/>
      <c r="J183" s="13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</row>
    <row r="184" spans="1:21" ht="20.100000000000001" customHeight="1">
      <c r="A184" s="13"/>
      <c r="B184" s="13"/>
      <c r="C184" s="13"/>
      <c r="D184" s="13"/>
      <c r="E184" s="13"/>
      <c r="F184" s="13"/>
      <c r="G184" s="13"/>
      <c r="H184" s="13"/>
      <c r="I184" s="27"/>
      <c r="J184" s="13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</row>
    <row r="185" spans="1:21" ht="20.100000000000001" customHeight="1">
      <c r="A185" s="13"/>
      <c r="B185" s="13"/>
      <c r="C185" s="13"/>
      <c r="D185" s="13"/>
      <c r="E185" s="13"/>
      <c r="F185" s="13"/>
      <c r="G185" s="13"/>
      <c r="H185" s="13"/>
      <c r="I185" s="27"/>
      <c r="J185" s="13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</row>
    <row r="186" spans="1:21" ht="20.100000000000001" customHeight="1">
      <c r="A186" s="13"/>
      <c r="B186" s="13"/>
      <c r="C186" s="13"/>
      <c r="D186" s="13"/>
      <c r="E186" s="13"/>
      <c r="F186" s="13"/>
      <c r="G186" s="13"/>
      <c r="H186" s="13"/>
      <c r="I186" s="27"/>
      <c r="J186" s="13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</row>
    <row r="187" spans="1:21" ht="20.100000000000001" customHeight="1">
      <c r="A187" s="13"/>
      <c r="B187" s="13"/>
      <c r="C187" s="13"/>
      <c r="D187" s="13"/>
      <c r="E187" s="13"/>
      <c r="F187" s="13"/>
      <c r="G187" s="13"/>
      <c r="H187" s="13"/>
      <c r="I187" s="27"/>
      <c r="J187" s="13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</row>
    <row r="188" spans="1:21" ht="20.100000000000001" customHeight="1">
      <c r="A188" s="13"/>
      <c r="B188" s="13"/>
      <c r="C188" s="13"/>
      <c r="D188" s="13"/>
      <c r="E188" s="13"/>
      <c r="F188" s="13"/>
      <c r="G188" s="13"/>
      <c r="H188" s="13"/>
      <c r="I188" s="27"/>
      <c r="J188" s="13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</row>
    <row r="189" spans="1:21" ht="20.100000000000001" customHeight="1">
      <c r="A189" s="13"/>
      <c r="B189" s="13"/>
      <c r="C189" s="13"/>
      <c r="D189" s="13"/>
      <c r="E189" s="13"/>
      <c r="F189" s="13"/>
      <c r="G189" s="13"/>
      <c r="H189" s="13"/>
      <c r="I189" s="27"/>
      <c r="J189" s="13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</row>
    <row r="190" spans="1:21" ht="20.100000000000001" customHeight="1">
      <c r="A190" s="13"/>
      <c r="B190" s="13"/>
      <c r="C190" s="13"/>
      <c r="D190" s="13"/>
      <c r="E190" s="13"/>
      <c r="F190" s="13"/>
      <c r="G190" s="13"/>
      <c r="H190" s="13"/>
      <c r="I190" s="27"/>
      <c r="J190" s="13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</row>
    <row r="191" spans="1:21" ht="20.100000000000001" customHeight="1">
      <c r="A191" s="13"/>
      <c r="B191" s="13"/>
      <c r="C191" s="13"/>
      <c r="D191" s="13"/>
      <c r="E191" s="13"/>
      <c r="F191" s="13"/>
      <c r="G191" s="13"/>
      <c r="H191" s="13"/>
      <c r="I191" s="27"/>
      <c r="J191" s="13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</row>
    <row r="192" spans="1:21" ht="20.100000000000001" customHeight="1">
      <c r="A192" s="13"/>
      <c r="B192" s="13"/>
      <c r="C192" s="13"/>
      <c r="D192" s="13"/>
      <c r="E192" s="13"/>
      <c r="F192" s="13"/>
      <c r="G192" s="13"/>
      <c r="H192" s="13"/>
      <c r="I192" s="27"/>
      <c r="J192" s="13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</row>
    <row r="193" spans="1:21" ht="20.100000000000001" customHeight="1">
      <c r="A193" s="13"/>
      <c r="B193" s="13"/>
      <c r="C193" s="13"/>
      <c r="D193" s="13"/>
      <c r="E193" s="13"/>
      <c r="F193" s="13"/>
      <c r="G193" s="13"/>
      <c r="H193" s="13"/>
      <c r="I193" s="27"/>
      <c r="J193" s="13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</row>
    <row r="194" spans="1:21" ht="20.100000000000001" customHeight="1">
      <c r="A194" s="13"/>
      <c r="B194" s="13"/>
      <c r="C194" s="13"/>
      <c r="D194" s="13"/>
      <c r="E194" s="13"/>
      <c r="F194" s="13"/>
      <c r="G194" s="13"/>
      <c r="H194" s="13"/>
      <c r="I194" s="27"/>
      <c r="J194" s="13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</row>
    <row r="195" spans="1:21" ht="20.100000000000001" customHeight="1">
      <c r="A195" s="13"/>
      <c r="B195" s="13"/>
      <c r="C195" s="13"/>
      <c r="D195" s="13"/>
      <c r="E195" s="13"/>
      <c r="F195" s="13"/>
      <c r="G195" s="13"/>
      <c r="H195" s="13"/>
      <c r="I195" s="27"/>
      <c r="J195" s="13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</row>
    <row r="196" spans="1:21" ht="20.100000000000001" customHeight="1">
      <c r="A196" s="13"/>
      <c r="B196" s="13"/>
      <c r="C196" s="13"/>
      <c r="D196" s="13"/>
      <c r="E196" s="13"/>
      <c r="F196" s="13"/>
      <c r="G196" s="13"/>
      <c r="H196" s="13"/>
      <c r="I196" s="27"/>
      <c r="J196" s="13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</row>
    <row r="197" spans="1:21" ht="20.100000000000001" customHeight="1">
      <c r="A197" s="13"/>
      <c r="B197" s="13"/>
      <c r="C197" s="13"/>
      <c r="D197" s="13"/>
      <c r="E197" s="13"/>
      <c r="F197" s="13"/>
      <c r="G197" s="13"/>
      <c r="H197" s="13"/>
      <c r="I197" s="27"/>
      <c r="J197" s="13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</row>
    <row r="198" spans="1:21" ht="20.100000000000001" customHeight="1">
      <c r="A198" s="13"/>
      <c r="B198" s="13"/>
      <c r="C198" s="13"/>
      <c r="D198" s="13"/>
      <c r="E198" s="13"/>
      <c r="F198" s="13"/>
      <c r="G198" s="13"/>
      <c r="H198" s="13"/>
      <c r="I198" s="27"/>
      <c r="J198" s="13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</row>
    <row r="199" spans="1:21" ht="20.100000000000001" customHeight="1">
      <c r="A199" s="13"/>
      <c r="B199" s="13"/>
      <c r="C199" s="13"/>
      <c r="D199" s="13"/>
      <c r="E199" s="13"/>
      <c r="F199" s="13"/>
      <c r="G199" s="13"/>
      <c r="H199" s="13"/>
      <c r="I199" s="27"/>
      <c r="J199" s="13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</row>
    <row r="200" spans="1:21" ht="20.100000000000001" customHeight="1">
      <c r="A200" s="13"/>
      <c r="B200" s="13"/>
      <c r="C200" s="13"/>
      <c r="D200" s="13"/>
      <c r="E200" s="13"/>
      <c r="F200" s="13"/>
      <c r="G200" s="13"/>
      <c r="H200" s="13"/>
      <c r="I200" s="27"/>
      <c r="J200" s="13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</row>
    <row r="201" spans="1:21" ht="20.100000000000001" customHeight="1">
      <c r="A201" s="13"/>
      <c r="B201" s="13"/>
      <c r="C201" s="13"/>
      <c r="D201" s="13"/>
      <c r="E201" s="13"/>
      <c r="F201" s="13"/>
      <c r="G201" s="13"/>
      <c r="H201" s="13"/>
      <c r="I201" s="27"/>
      <c r="J201" s="13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</row>
    <row r="202" spans="1:21" ht="20.100000000000001" customHeight="1">
      <c r="A202" s="13"/>
      <c r="B202" s="13"/>
      <c r="C202" s="13"/>
      <c r="D202" s="13"/>
      <c r="E202" s="13"/>
      <c r="F202" s="13"/>
      <c r="G202" s="13"/>
      <c r="H202" s="13"/>
      <c r="I202" s="27"/>
      <c r="J202" s="13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</row>
    <row r="203" spans="1:21" ht="20.100000000000001" customHeight="1">
      <c r="A203" s="13"/>
      <c r="B203" s="13"/>
      <c r="C203" s="13"/>
      <c r="D203" s="13"/>
      <c r="E203" s="13"/>
      <c r="F203" s="13"/>
      <c r="G203" s="13"/>
      <c r="H203" s="13"/>
      <c r="I203" s="27"/>
      <c r="J203" s="13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</row>
    <row r="204" spans="1:21" ht="20.100000000000001" customHeight="1">
      <c r="A204" s="13"/>
      <c r="B204" s="13"/>
      <c r="C204" s="13"/>
      <c r="D204" s="13"/>
      <c r="E204" s="13"/>
      <c r="F204" s="13"/>
      <c r="G204" s="13"/>
      <c r="H204" s="13"/>
      <c r="I204" s="27"/>
      <c r="J204" s="13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</row>
    <row r="205" spans="1:21" ht="20.100000000000001" customHeight="1">
      <c r="A205" s="14"/>
      <c r="B205" s="14"/>
      <c r="C205" s="14"/>
      <c r="D205" s="14"/>
      <c r="E205" s="14"/>
      <c r="F205" s="14"/>
      <c r="G205" s="14"/>
      <c r="H205" s="14"/>
      <c r="I205" s="28"/>
      <c r="J205" s="14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Listák!$J$2:$J$9</xm:f>
          </x14:formula1>
          <xm:sqref>C6:C205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65911"/>
  </sheetPr>
  <dimension ref="A2:F16"/>
  <sheetViews>
    <sheetView showGridLines="0" workbookViewId="0"/>
  </sheetViews>
  <sheetFormatPr defaultRowHeight="14.25"/>
  <cols>
    <col min="1" max="1" width="48" customWidth="1"/>
    <col min="2" max="3" width="18" customWidth="1"/>
  </cols>
  <sheetData>
    <row r="2" spans="1:6" ht="19.5">
      <c r="A2" s="2" t="s">
        <v>125</v>
      </c>
      <c r="B2" s="1"/>
      <c r="C2" s="1"/>
      <c r="D2" s="1"/>
      <c r="E2" s="1"/>
      <c r="F2" s="1"/>
    </row>
    <row r="3" spans="1:6">
      <c r="A3" s="3" t="s">
        <v>126</v>
      </c>
      <c r="B3" s="3"/>
      <c r="C3" s="3"/>
      <c r="D3" s="3"/>
      <c r="E3" s="3"/>
      <c r="F3" s="3"/>
    </row>
    <row r="5" spans="1:6" ht="15">
      <c r="A5" s="4" t="s">
        <v>127</v>
      </c>
      <c r="B5" s="4" t="s">
        <v>128</v>
      </c>
      <c r="C5" s="4" t="s">
        <v>129</v>
      </c>
    </row>
    <row r="6" spans="1:6">
      <c r="A6" s="7" t="s">
        <v>130</v>
      </c>
      <c r="B6" s="8">
        <f>COUNTIF(Projekt!B6:B205,"?*")-COUNTIFS(Projekt!B6:B205,"?*",Projekt!A6:A205,"?*")</f>
        <v>0</v>
      </c>
      <c r="C6" s="7">
        <v>0</v>
      </c>
    </row>
    <row r="7" spans="1:6">
      <c r="A7" s="7" t="s">
        <v>131</v>
      </c>
      <c r="B7" s="8">
        <f>SUMPRODUCT((Szerkezetek!A6:A205&lt;&gt;"")*(COUNTIF(Szerkezetek!A6:A205,Szerkezetek!A6:A205)&gt;1))</f>
        <v>0</v>
      </c>
      <c r="C7" s="7">
        <v>0</v>
      </c>
    </row>
    <row r="8" spans="1:6">
      <c r="A8" s="7" t="s">
        <v>132</v>
      </c>
      <c r="B8" s="8">
        <f>SUMPRODUCT((Rétegek!A6:A205&lt;&gt;"")*(COUNTIF(Szerkezetek!A6:A205,Rétegek!B6:B205)=0))</f>
        <v>0</v>
      </c>
      <c r="C8" s="7">
        <v>0</v>
      </c>
    </row>
    <row r="9" spans="1:6">
      <c r="A9" s="7" t="s">
        <v>133</v>
      </c>
      <c r="B9" s="8">
        <f>SUMPRODUCT((Helyiségek!A6:A205&lt;&gt;"")*(COUNTIF(Projekt!A6:A205,Helyiségek!B6:B205)=0))</f>
        <v>0</v>
      </c>
      <c r="C9" s="7">
        <v>0</v>
      </c>
    </row>
    <row r="10" spans="1:6">
      <c r="A10" s="7" t="s">
        <v>134</v>
      </c>
      <c r="B10" s="8">
        <f>SUMPRODUCT((Határolók!A6:A205&lt;&gt;"")*(COUNTIF(Helyiségek!A6:A205,Határolók!B6:B205)=0))</f>
        <v>0</v>
      </c>
      <c r="C10" s="7">
        <v>0</v>
      </c>
    </row>
    <row r="11" spans="1:6">
      <c r="A11" s="7" t="s">
        <v>135</v>
      </c>
      <c r="B11" s="8">
        <f>SUMPRODUCT((Határolók!A6:A205&lt;&gt;"")*(COUNTIF(Szerkezetek!A6:A205,Határolók!C6:C205)=0))</f>
        <v>0</v>
      </c>
      <c r="C11" s="7">
        <v>0</v>
      </c>
    </row>
    <row r="12" spans="1:6">
      <c r="A12" s="7" t="s">
        <v>136</v>
      </c>
      <c r="B12" s="8">
        <f>SUMPRODUCT((Nyílászárók!A6:A205&lt;&gt;"")*(COUNTIF(Határolók!A6:A205,Nyílászárók!C6:C205)=0))</f>
        <v>0</v>
      </c>
      <c r="C12" s="7">
        <v>0</v>
      </c>
    </row>
    <row r="13" spans="1:6">
      <c r="A13" s="7" t="s">
        <v>137</v>
      </c>
      <c r="B13" s="8">
        <f>SUMPRODUCT((Nyílászárók!A6:A205&lt;&gt;"")*(COUNTIF(Szerkezetek!A6:A205,Nyílászárók!D6:D205)=0))</f>
        <v>0</v>
      </c>
      <c r="C13" s="7">
        <v>0</v>
      </c>
    </row>
    <row r="14" spans="1:6">
      <c r="A14" s="7" t="s">
        <v>138</v>
      </c>
      <c r="B14" s="8">
        <f>COUNTIF(Határolók!M6:M205,"&lt;0")</f>
        <v>0</v>
      </c>
      <c r="C14" s="7">
        <v>0</v>
      </c>
    </row>
    <row r="15" spans="1:6">
      <c r="A15" s="7" t="s">
        <v>139</v>
      </c>
      <c r="B15" s="8">
        <f>SUMPRODUCT((Gépészet!A6:A205&lt;&gt;"")*(COUNTIF(Projekt!A6:A205,Gépészet!B6:B205)=0))</f>
        <v>0</v>
      </c>
      <c r="C15" s="7">
        <v>0</v>
      </c>
    </row>
    <row r="16" spans="1:6">
      <c r="A16" s="7" t="s">
        <v>140</v>
      </c>
      <c r="B16" s="8">
        <f>SUMPRODUCT((Képek!A6:A205&lt;&gt;"")*(Képek!D6:D205=""))</f>
        <v>0</v>
      </c>
      <c r="C16" s="7">
        <v>0</v>
      </c>
    </row>
  </sheetData>
  <conditionalFormatting sqref="B6:B1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A5A5"/>
  </sheetPr>
  <dimension ref="A1:J20"/>
  <sheetViews>
    <sheetView showGridLines="0" workbookViewId="0"/>
  </sheetViews>
  <sheetFormatPr defaultRowHeight="14.25"/>
  <cols>
    <col min="1" max="10" width="25" customWidth="1"/>
  </cols>
  <sheetData>
    <row r="1" spans="1:10">
      <c r="A1" s="29" t="s">
        <v>141</v>
      </c>
      <c r="B1" s="29" t="s">
        <v>142</v>
      </c>
      <c r="C1" s="29" t="s">
        <v>143</v>
      </c>
      <c r="D1" s="29" t="s">
        <v>144</v>
      </c>
      <c r="E1" s="29" t="s">
        <v>145</v>
      </c>
      <c r="F1" s="29" t="s">
        <v>146</v>
      </c>
      <c r="G1" s="29" t="s">
        <v>147</v>
      </c>
      <c r="H1" s="29" t="s">
        <v>148</v>
      </c>
      <c r="I1" s="29" t="s">
        <v>149</v>
      </c>
      <c r="J1" s="29" t="s">
        <v>150</v>
      </c>
    </row>
    <row r="2" spans="1:10">
      <c r="A2" s="30" t="s">
        <v>151</v>
      </c>
      <c r="B2" s="30" t="s">
        <v>152</v>
      </c>
      <c r="C2" s="30" t="s">
        <v>153</v>
      </c>
      <c r="D2" s="30" t="s">
        <v>154</v>
      </c>
      <c r="E2" s="30" t="s">
        <v>155</v>
      </c>
      <c r="F2" s="30" t="s">
        <v>156</v>
      </c>
      <c r="G2" s="30" t="s">
        <v>157</v>
      </c>
      <c r="H2" s="30" t="s">
        <v>158</v>
      </c>
      <c r="I2" s="30" t="s">
        <v>159</v>
      </c>
      <c r="J2" s="30" t="s">
        <v>160</v>
      </c>
    </row>
    <row r="3" spans="1:10">
      <c r="A3" s="30" t="s">
        <v>161</v>
      </c>
      <c r="B3" s="30" t="s">
        <v>162</v>
      </c>
      <c r="C3" s="30" t="s">
        <v>163</v>
      </c>
      <c r="D3" s="30" t="s">
        <v>164</v>
      </c>
      <c r="E3" s="30" t="s">
        <v>165</v>
      </c>
      <c r="F3" s="30" t="s">
        <v>166</v>
      </c>
      <c r="G3" s="30" t="s">
        <v>167</v>
      </c>
      <c r="H3" s="30" t="s">
        <v>168</v>
      </c>
      <c r="I3" s="30" t="s">
        <v>169</v>
      </c>
      <c r="J3" s="30" t="s">
        <v>170</v>
      </c>
    </row>
    <row r="4" spans="1:10">
      <c r="A4" s="30" t="s">
        <v>171</v>
      </c>
      <c r="B4" s="30" t="s">
        <v>172</v>
      </c>
      <c r="C4" s="30" t="s">
        <v>173</v>
      </c>
      <c r="D4" s="30" t="s">
        <v>174</v>
      </c>
      <c r="E4" s="30" t="s">
        <v>175</v>
      </c>
      <c r="F4" s="30" t="s">
        <v>176</v>
      </c>
      <c r="G4" s="30"/>
      <c r="H4" s="30" t="s">
        <v>177</v>
      </c>
      <c r="I4" s="30" t="s">
        <v>178</v>
      </c>
      <c r="J4" s="30" t="s">
        <v>179</v>
      </c>
    </row>
    <row r="5" spans="1:10">
      <c r="A5" s="30" t="s">
        <v>180</v>
      </c>
      <c r="B5" s="30" t="s">
        <v>181</v>
      </c>
      <c r="C5" s="30" t="s">
        <v>182</v>
      </c>
      <c r="D5" s="30" t="s">
        <v>183</v>
      </c>
      <c r="E5" s="30" t="s">
        <v>184</v>
      </c>
      <c r="F5" s="30" t="s">
        <v>185</v>
      </c>
      <c r="G5" s="30"/>
      <c r="H5" s="30" t="s">
        <v>186</v>
      </c>
      <c r="I5" s="30"/>
      <c r="J5" s="30" t="s">
        <v>187</v>
      </c>
    </row>
    <row r="6" spans="1:10">
      <c r="A6" s="30" t="s">
        <v>188</v>
      </c>
      <c r="B6" s="30" t="s">
        <v>189</v>
      </c>
      <c r="C6" s="30" t="s">
        <v>190</v>
      </c>
      <c r="D6" s="30" t="s">
        <v>191</v>
      </c>
      <c r="E6" s="30"/>
      <c r="F6" s="30" t="s">
        <v>192</v>
      </c>
      <c r="G6" s="30"/>
      <c r="H6" s="30"/>
      <c r="I6" s="30"/>
      <c r="J6" s="30" t="s">
        <v>193</v>
      </c>
    </row>
    <row r="7" spans="1:10">
      <c r="A7" s="30" t="s">
        <v>194</v>
      </c>
      <c r="B7" s="30" t="s">
        <v>195</v>
      </c>
      <c r="C7" s="30" t="s">
        <v>196</v>
      </c>
      <c r="D7" s="30" t="s">
        <v>197</v>
      </c>
      <c r="E7" s="30"/>
      <c r="F7" s="30" t="s">
        <v>198</v>
      </c>
      <c r="G7" s="30"/>
      <c r="H7" s="30"/>
      <c r="I7" s="30"/>
      <c r="J7" s="30" t="s">
        <v>190</v>
      </c>
    </row>
    <row r="8" spans="1:10">
      <c r="A8" s="30" t="s">
        <v>199</v>
      </c>
      <c r="B8" s="30" t="s">
        <v>182</v>
      </c>
      <c r="C8" s="30" t="s">
        <v>200</v>
      </c>
      <c r="D8" s="30" t="s">
        <v>201</v>
      </c>
      <c r="E8" s="30"/>
      <c r="F8" s="30" t="s">
        <v>202</v>
      </c>
      <c r="G8" s="30"/>
      <c r="H8" s="30"/>
      <c r="I8" s="30"/>
      <c r="J8" s="30" t="s">
        <v>203</v>
      </c>
    </row>
    <row r="9" spans="1:10">
      <c r="A9" s="30" t="s">
        <v>204</v>
      </c>
      <c r="B9" s="30" t="s">
        <v>155</v>
      </c>
      <c r="C9" s="30"/>
      <c r="D9" s="30" t="s">
        <v>205</v>
      </c>
      <c r="E9" s="30"/>
      <c r="F9" s="30"/>
      <c r="G9" s="30"/>
      <c r="H9" s="30"/>
      <c r="I9" s="30"/>
      <c r="J9" s="30" t="s">
        <v>200</v>
      </c>
    </row>
    <row r="10" spans="1:10">
      <c r="A10" s="30" t="s">
        <v>206</v>
      </c>
      <c r="B10" s="30" t="s">
        <v>207</v>
      </c>
      <c r="C10" s="30"/>
      <c r="D10" s="30"/>
      <c r="E10" s="30"/>
      <c r="F10" s="30"/>
      <c r="G10" s="30"/>
      <c r="H10" s="30"/>
      <c r="I10" s="30"/>
      <c r="J10" s="30"/>
    </row>
    <row r="11" spans="1:10">
      <c r="A11" s="30" t="s">
        <v>200</v>
      </c>
      <c r="B11" s="30" t="s">
        <v>208</v>
      </c>
      <c r="C11" s="30"/>
      <c r="D11" s="30"/>
      <c r="E11" s="30"/>
      <c r="F11" s="30"/>
      <c r="G11" s="30"/>
      <c r="H11" s="30"/>
      <c r="I11" s="30"/>
      <c r="J11" s="30"/>
    </row>
    <row r="12" spans="1:10">
      <c r="A12" s="30"/>
      <c r="B12" s="30" t="s">
        <v>200</v>
      </c>
      <c r="C12" s="30"/>
      <c r="D12" s="30"/>
      <c r="E12" s="30"/>
      <c r="F12" s="30"/>
      <c r="G12" s="30"/>
      <c r="H12" s="30"/>
      <c r="I12" s="30"/>
      <c r="J12" s="30"/>
    </row>
    <row r="13" spans="1:10">
      <c r="A13" s="30"/>
      <c r="B13" s="30"/>
      <c r="C13" s="30"/>
      <c r="D13" s="30"/>
      <c r="E13" s="30"/>
      <c r="F13" s="30"/>
      <c r="G13" s="30"/>
      <c r="H13" s="30"/>
      <c r="I13" s="30"/>
      <c r="J13" s="30"/>
    </row>
    <row r="14" spans="1:10">
      <c r="A14" s="30"/>
      <c r="B14" s="30"/>
      <c r="C14" s="30"/>
      <c r="D14" s="30"/>
      <c r="E14" s="30"/>
      <c r="F14" s="30"/>
      <c r="G14" s="30"/>
      <c r="H14" s="30"/>
      <c r="I14" s="30"/>
      <c r="J14" s="30"/>
    </row>
    <row r="15" spans="1:10">
      <c r="A15" s="30"/>
      <c r="B15" s="30"/>
      <c r="C15" s="30"/>
      <c r="D15" s="30"/>
      <c r="E15" s="30"/>
      <c r="F15" s="30"/>
      <c r="G15" s="30"/>
      <c r="H15" s="30"/>
      <c r="I15" s="30"/>
      <c r="J15" s="30"/>
    </row>
    <row r="16" spans="1:10">
      <c r="A16" s="30"/>
      <c r="B16" s="30"/>
      <c r="C16" s="30"/>
      <c r="D16" s="30"/>
      <c r="E16" s="30"/>
      <c r="F16" s="30"/>
      <c r="G16" s="30"/>
      <c r="H16" s="30"/>
      <c r="I16" s="30"/>
      <c r="J16" s="30"/>
    </row>
    <row r="17" spans="1:10">
      <c r="A17" s="30"/>
      <c r="B17" s="30"/>
      <c r="C17" s="30"/>
      <c r="D17" s="30"/>
      <c r="E17" s="30"/>
      <c r="F17" s="30"/>
      <c r="G17" s="30"/>
      <c r="H17" s="30"/>
      <c r="I17" s="30"/>
      <c r="J17" s="30"/>
    </row>
    <row r="18" spans="1:10">
      <c r="A18" s="30"/>
      <c r="B18" s="30"/>
      <c r="C18" s="30"/>
      <c r="D18" s="30"/>
      <c r="E18" s="30"/>
      <c r="F18" s="30"/>
      <c r="G18" s="30"/>
      <c r="H18" s="30"/>
      <c r="I18" s="30"/>
      <c r="J18" s="30"/>
    </row>
    <row r="19" spans="1:10">
      <c r="A19" s="30"/>
      <c r="B19" s="30"/>
      <c r="C19" s="30"/>
      <c r="D19" s="30"/>
      <c r="E19" s="30"/>
      <c r="F19" s="30"/>
      <c r="G19" s="30"/>
      <c r="H19" s="30"/>
      <c r="I19" s="30"/>
      <c r="J19" s="30"/>
    </row>
    <row r="20" spans="1:10">
      <c r="A20" s="30"/>
      <c r="B20" s="30"/>
      <c r="C20" s="30"/>
      <c r="D20" s="30"/>
      <c r="E20" s="30"/>
      <c r="F20" s="30"/>
      <c r="G20" s="30"/>
      <c r="H20" s="30"/>
      <c r="I20" s="30"/>
      <c r="J2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11</vt:i4>
      </vt:variant>
    </vt:vector>
  </HeadingPairs>
  <TitlesOfParts>
    <vt:vector size="11" baseType="lpstr">
      <vt:lpstr>Összesítő</vt:lpstr>
      <vt:lpstr>Projekt</vt:lpstr>
      <vt:lpstr>Szerkezetek</vt:lpstr>
      <vt:lpstr>Rétegek</vt:lpstr>
      <vt:lpstr>Helyiségek</vt:lpstr>
      <vt:lpstr>Határolók</vt:lpstr>
      <vt:lpstr>Nyílászárók</vt:lpstr>
      <vt:lpstr>Gépészet</vt:lpstr>
      <vt:lpstr>Képek</vt:lpstr>
      <vt:lpstr>Ellenőrzés</vt:lpstr>
      <vt:lpstr>Listák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Dancs Gábor</cp:lastModifiedBy>
  <dcterms:modified xsi:type="dcterms:W3CDTF">2026-10-11T13:40:51Z</dcterms:modified>
</cp:coreProperties>
</file>